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idades" sheetId="2" state="visible" r:id="rId4"/>
    <sheet name="Faixas de Peso" sheetId="3" state="visible" r:id="rId5"/>
    <sheet name="Premiss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<sst xmlns="http://schemas.openxmlformats.org/spreadsheetml/2006/main" count="268" uniqueCount="113">
  <si>
    <t xml:space="preserve">TRANSUA  |  Simulação de Frete – Espírito Santo  |  Proposta V2</t>
  </si>
  <si>
    <t xml:space="preserve">Pedidos com destino ES pagos de jul a set: preço atual praticado x tabela TRANSUA proposta (valores com ICMS)</t>
  </si>
  <si>
    <t xml:space="preserve">Pedidos simulados</t>
  </si>
  <si>
    <t xml:space="preserve">Custo atual (mercado)</t>
  </si>
  <si>
    <t xml:space="preserve">Custo com TRANSUA (V2)</t>
  </si>
  <si>
    <t xml:space="preserve">Diferença</t>
  </si>
  <si>
    <t xml:space="preserve">Pedidos em que a TRANSUA é mais barata</t>
  </si>
  <si>
    <t xml:space="preserve">Resultado por região – proposta V2</t>
  </si>
  <si>
    <t xml:space="preserve">Região</t>
  </si>
  <si>
    <t xml:space="preserve">Pedidos</t>
  </si>
  <si>
    <t xml:space="preserve">Preço médio atual</t>
  </si>
  <si>
    <t xml:space="preserve">Preço médio TRANSUA</t>
  </si>
  <si>
    <t xml:space="preserve">TRANSUA mais barata em</t>
  </si>
  <si>
    <t xml:space="preserve">Status</t>
  </si>
  <si>
    <t xml:space="preserve">Grande Vitória (Serra, Vila Velha, Vitória, Cariacica, Viana)</t>
  </si>
  <si>
    <t xml:space="preserve">Interior (demais cidades)</t>
  </si>
  <si>
    <t xml:space="preserve">Total ES</t>
  </si>
  <si>
    <t xml:space="preserve">Evolução da proposta: diferença vs. mercado (negativo = TRANSUA mais barata)</t>
  </si>
  <si>
    <t xml:space="preserve">Proposta V1</t>
  </si>
  <si>
    <t xml:space="preserve">Proposta V2</t>
  </si>
  <si>
    <t xml:space="preserve">Melhora (p.p.)</t>
  </si>
  <si>
    <t xml:space="preserve">Mais barata em (V1)</t>
  </si>
  <si>
    <t xml:space="preserve">Mais barata em (V2)</t>
  </si>
  <si>
    <t xml:space="preserve">V2 + ajustes 1 a 3 abaixo</t>
  </si>
  <si>
    <t xml:space="preserve">Grande Vitória</t>
  </si>
  <si>
    <t xml:space="preserve">Interior</t>
  </si>
  <si>
    <t xml:space="preserve">Onde a TRANSUA já é competitiva</t>
  </si>
  <si>
    <t xml:space="preserve">✔  Grande Vitória: -11,2% vs. mercado; TRANSUA mais barata em 79% dos pedidos. Serra -10,2%, Vila Velha -10,5%, Vitória -8,8%, Cariacica -15,2%, Viana -17,3%.</t>
  </si>
  <si>
    <t xml:space="preserve">✔  Faixas de 20 a 160 kg competitivas no top 20 (20 - 40 kg -1,3%, 40 - 60 kg -10,6%, 60 - 70 kg -15,0%, 70 - 90 kg -12,4%, 90 - 120 kg +0,1%, 120 - 160 kg -5,2%).</t>
  </si>
  <si>
    <t xml:space="preserve">✔  Interior já próximo do mercado (até +8%): Nova Venécia +7,2%, Marataízes +7,9%, Santa Maria de Jetibá +0,2%, Castelo +3,6%, Vila Valério +4,1%, Baixo Guandu +6,3%.</t>
  </si>
  <si>
    <t xml:space="preserve">Onde a TRANSUA ainda precisa melhorar</t>
  </si>
  <si>
    <t xml:space="preserve">✖  Interior: +20,3% vs. mercado, mais barata em só 30% dos pedidos. O frete mínimo de R$ 160,00 (sem ICMS) não mudou: 93% dos pedidos de até 40 kg do interior caem no mínimo (TRANSUA R$ 185,57 x mercado R$ 133,79).</t>
  </si>
  <si>
    <t xml:space="preserve">✖  Guarapari: continua na faixa de CEP do interior (mínimo R$ 160,00, 18 d.u.); +25,0% vs. mercado.</t>
  </si>
  <si>
    <t xml:space="preserve">✖  Cidades do interior mais distantes do mercado: Guarapari +25,0%, Colatina +18,3%, Aracruz +17,2%, Piúma +16,9%.</t>
  </si>
  <si>
    <t xml:space="preserve">✖  Pedidos leves (0–20 kg): +44,2%. O mínimo da capital (R$ 95,00) fica acima do mercado na Grande Vitória (TRANSUA R$ 102,15 x mercado R$ 81,63).</t>
  </si>
  <si>
    <t xml:space="preserve">✖  Pedidos pesados: 160+ kg +12,4%.</t>
  </si>
  <si>
    <t xml:space="preserve">✖  Taxa SECCAT de R$ 220,00 mantida: 37 pedidos no período, custo médio TRANSUA R$ 406,40 x mercado R$ 171,01.</t>
  </si>
  <si>
    <t xml:space="preserve">Nossa proposta de ajuste</t>
  </si>
  <si>
    <t xml:space="preserve">1.  Reduzir o frete mínimo do interior de R$ 160,00 para ~R$ 125,00 (sem ICMS).</t>
  </si>
  <si>
    <t xml:space="preserve">2.  Enquadrar Guarapari (CEPs 29200-000 a 29229-999) na tabela da capital: mínimo R$ 95,00 e prazo 12 d.u.</t>
  </si>
  <si>
    <t xml:space="preserve">3.  Retirar a taxa SECCAT de R$ 220,00.</t>
  </si>
  <si>
    <t xml:space="preserve">4.  Reduzir o mínimo da capital de R$ 95,00 para ~R$ 75,00 (sem ICMS) para os pedidos de até 20 kg.</t>
  </si>
  <si>
    <t xml:space="preserve">5.  Reduzir a faixa de 200 kg e o excedente por kg em ~10% a 15% (ver aba "Faixas de Peso").</t>
  </si>
  <si>
    <t xml:space="preserve">➜  Com os ajustes 1 a 3, a proposta V2 ficaria -7,1% vs. mercado no ES (interior -1,8%), mais barata em 73% dos pedidos.</t>
  </si>
  <si>
    <t xml:space="preserve">Top 20 cidades do ES  |  Preço médio por pedido</t>
  </si>
  <si>
    <t xml:space="preserve">Cidades com mais pedidos de jul a set. Preço alvo = preço médio praticado hoje pelo mercado nos mesmos pedidos (com ICMS).</t>
  </si>
  <si>
    <t xml:space="preserve">Cidade</t>
  </si>
  <si>
    <t xml:space="preserve">Preço alvo (mercado)</t>
  </si>
  <si>
    <t xml:space="preserve">Preço TRANSUA</t>
  </si>
  <si>
    <t xml:space="preserve">Redução necessária</t>
  </si>
  <si>
    <t xml:space="preserve">Serra</t>
  </si>
  <si>
    <t xml:space="preserve">Capital</t>
  </si>
  <si>
    <t xml:space="preserve">Vila Velha</t>
  </si>
  <si>
    <t xml:space="preserve">Vitória</t>
  </si>
  <si>
    <t xml:space="preserve">Cariacica</t>
  </si>
  <si>
    <t xml:space="preserve">Guarapari</t>
  </si>
  <si>
    <t xml:space="preserve">Cachoeiro de Itapemirim</t>
  </si>
  <si>
    <t xml:space="preserve">Linhares</t>
  </si>
  <si>
    <t xml:space="preserve">Colatina</t>
  </si>
  <si>
    <t xml:space="preserve">São Mateus</t>
  </si>
  <si>
    <t xml:space="preserve">Viana</t>
  </si>
  <si>
    <t xml:space="preserve">Aracruz</t>
  </si>
  <si>
    <t xml:space="preserve">Nova Venécia</t>
  </si>
  <si>
    <t xml:space="preserve">Anchieta</t>
  </si>
  <si>
    <t xml:space="preserve">Marataízes</t>
  </si>
  <si>
    <t xml:space="preserve">Alegre</t>
  </si>
  <si>
    <t xml:space="preserve">Santa Maria de Jetibá</t>
  </si>
  <si>
    <t xml:space="preserve">Piúma</t>
  </si>
  <si>
    <t xml:space="preserve">Castelo</t>
  </si>
  <si>
    <t xml:space="preserve">Vila Valério</t>
  </si>
  <si>
    <t xml:space="preserve">Baixo Guandu</t>
  </si>
  <si>
    <t xml:space="preserve">Total top 20</t>
  </si>
  <si>
    <t xml:space="preserve">Legenda de status (diferença TRANSUA x mercado atual):</t>
  </si>
  <si>
    <t xml:space="preserve">Competitivo  (≤ 0%)</t>
  </si>
  <si>
    <t xml:space="preserve">Ajuste fino  (até +10%)</t>
  </si>
  <si>
    <t xml:space="preserve">Precisa melhorar  (+10% a +20%)</t>
  </si>
  <si>
    <t xml:space="preserve">Crítico  (acima de +20%)</t>
  </si>
  <si>
    <t xml:space="preserve">Faixas de peso  |  Top 20 cidades</t>
  </si>
  <si>
    <t xml:space="preserve">Preço médio por pedido em cada faixa de peso (kg). "Melhor preço do mercado" = transportadora mais barata hoje na faixa (média).</t>
  </si>
  <si>
    <t xml:space="preserve">Faixa de peso (kg)</t>
  </si>
  <si>
    <t xml:space="preserve">Preço médio mercado</t>
  </si>
  <si>
    <t xml:space="preserve">Melhor preço do mercado</t>
  </si>
  <si>
    <t xml:space="preserve">Diferença x média</t>
  </si>
  <si>
    <t xml:space="preserve">Redução p/ média do mercado</t>
  </si>
  <si>
    <t xml:space="preserve">0 - 20 kg</t>
  </si>
  <si>
    <t xml:space="preserve">20 - 40 kg</t>
  </si>
  <si>
    <t xml:space="preserve">40 - 60 kg</t>
  </si>
  <si>
    <t xml:space="preserve">60 - 70 kg</t>
  </si>
  <si>
    <t xml:space="preserve">70 - 90 kg</t>
  </si>
  <si>
    <t xml:space="preserve">90 - 120 kg</t>
  </si>
  <si>
    <t xml:space="preserve">120 - 160 kg</t>
  </si>
  <si>
    <t xml:space="preserve">160+ kg</t>
  </si>
  <si>
    <t xml:space="preserve">Mapa de calor: diferença TRANSUA x mercado por cidade e faixa (verde = TRANSUA mais barata)</t>
  </si>
  <si>
    <t xml:space="preserve">·</t>
  </si>
  <si>
    <t xml:space="preserve">·  = menos de 3 pedidos na combinação (não exibido).</t>
  </si>
  <si>
    <t xml:space="preserve">Premissas da simulação</t>
  </si>
  <si>
    <t xml:space="preserve">Como os valores foram calculados</t>
  </si>
  <si>
    <t xml:space="preserve">Base</t>
  </si>
  <si>
    <t xml:space="preserve">Pedidos com destino ao Espírito Santo, pagos entre 01/07 e 30/09 (1.205 pedidos).</t>
  </si>
  <si>
    <t xml:space="preserve">Preço atual (mercado)</t>
  </si>
  <si>
    <t xml:space="preserve">Custo de frete cotado pela transportadora que efetivamente atendeu cada pedido, com ICMS.</t>
  </si>
  <si>
    <t xml:space="preserve">Tabela proposta (formato Intelipost) aplicada pedido a pedido:</t>
  </si>
  <si>
    <t xml:space="preserve">•  Frete-peso pela faixa (até 10/20/40/60/70/100/150/200 kg; acima de 200 kg = faixa de 200 kg + excedente por kg).</t>
  </si>
  <si>
    <t xml:space="preserve">•  + Ad valorem 0,249% e GRIS 0,2% sobre a nota fiscal, TAS R$ 4,00, pedágio R$ 3,80 a cada 100 kg, entrega R$ 7,90 e SECCAT (R$ 220,00 nas faixas de CEP indicadas).</t>
  </si>
  <si>
    <t xml:space="preserve">•  Frete mínimo: R$ 95,00 (Grande Vitória, CEP 29000-000 a 29184-999) e R$ 160,00 (demais CEPs), aplicado sobre o total.</t>
  </si>
  <si>
    <t xml:space="preserve">Proposta</t>
  </si>
  <si>
    <t xml:space="preserve">Tabela simulada: proposta V2 da TRANSUA (comparação com a proposta V1 na aba Resumo).</t>
  </si>
  <si>
    <t xml:space="preserve">ICMS</t>
  </si>
  <si>
    <t xml:space="preserve">A tabela informa ICMS não incluso; aplicado ICMS interestadual de 7% (origem Sudeste → ES) por dentro: total ÷ 0,93.</t>
  </si>
  <si>
    <t xml:space="preserve">Peso</t>
  </si>
  <si>
    <t xml:space="preserve">Peso real dos itens (a base não tem dimensões, portanto a cubagem de 300 kg/m³ não foi aplicada).</t>
  </si>
  <si>
    <t xml:space="preserve">Confidencialidade</t>
  </si>
  <si>
    <t xml:space="preserve">Preços de mercado apresentados apenas como médias, sem identificação das transportadoras.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</si>
</sst>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&quot;R$ &quot;#,##0"/>
    <numFmt numFmtId="167" formatCode="\+0.0%;\-0.0%;0.0%"/>
    <numFmt numFmtId="168" formatCode="0%"/>
    <numFmt numFmtId="169" formatCode="&quot;R$ &quot;#,##0.00"/>
    <numFmt numFmtId="170" formatCode="0.0&quot; p.p.&quot;"/>
    <numFmt numFmtId="171" formatCode="0.0%;\-0.0%;\—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9C000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974706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A6A6A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BF6EE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6EE"/>
      </patternFill>
    </fill>
    <fill>
      <patternFill patternType="solid">
        <fgColor rgb="FFEBF6EE"/>
        <bgColor rgb="FFF2F2F2"/>
      </patternFill>
    </fill>
    <fill>
      <patternFill patternType="solid">
        <fgColor rgb="FFFDEDEF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CD5B4"/>
      </patternFill>
    </fill>
    <fill>
      <patternFill patternType="solid">
        <fgColor rgb="FFFCD5B4"/>
        <bgColor rgb="FFFFC7CE"/>
      </patternFill>
    </fill>
    <fill>
      <patternFill patternType="solid">
        <fgColor rgb="FFFFC7CE"/>
        <bgColor rgb="FFFCD5B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71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74706"/>
      </font>
      <fill>
        <patternFill>
          <bgColor rgb="FFFCD5B4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9999FF"/>
      <rgbColor rgb="FF993366"/>
      <rgbColor rgb="FFEBF6EE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DEDEF"/>
      <rgbColor rgb="FFFFC7CE"/>
      <rgbColor rgb="FFCC99FF"/>
      <rgbColor rgb="FFFCD5B4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747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Preço médio por faixa de peso: mercado x TRANSUA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'Faixas de Peso'!D4</c:f>
              <c:strCache>
                <c:ptCount val="1"/>
                <c:pt idx="0">
                  <c:v>Preço médio mercado</c:v>
                </c:pt>
              </c:strCache>
            </c:strRef>
          </c:tx>
          <c:spPr>
            <a:solidFill>
              <a:srgbClr val="a6a6a6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'Faixas de Peso'!$B$5:$B$12</c:f>
              <c:strCache>
                <c:ptCount val="8"/>
                <c:pt idx="0">
                  <c:v>0 - 20 kg</c:v>
                </c:pt>
                <c:pt idx="1">
                  <c:v>20 - 40 kg</c:v>
                </c:pt>
                <c:pt idx="2">
                  <c:v>40 - 60 kg</c:v>
                </c:pt>
                <c:pt idx="3">
                  <c:v>60 - 70 kg</c:v>
                </c:pt>
                <c:pt idx="4">
                  <c:v>70 - 90 kg</c:v>
                </c:pt>
                <c:pt idx="5">
                  <c:v>90 - 120 kg</c:v>
                </c:pt>
                <c:pt idx="6">
                  <c:v>120 - 160 kg</c:v>
                </c:pt>
                <c:pt idx="7">
                  <c:v>160+ kg</c:v>
                </c:pt>
              </c:strCache>
            </c:strRef>
          </c:cat>
          <c:val>
            <c:numRef>
              <c:f>'Faixas de Peso'!$D$5:$D$12</c:f>
              <c:numCache>
                <c:formatCode>"R$ "#,##0.00</c:formatCode>
                <c:ptCount val="8"/>
                <c:pt idx="0">
                  <c:v>88.54</c:v>
                </c:pt>
                <c:pt idx="1">
                  <c:v>131.21</c:v>
                </c:pt>
                <c:pt idx="2">
                  <c:v>163.15</c:v>
                </c:pt>
                <c:pt idx="3">
                  <c:v>186.06</c:v>
                </c:pt>
                <c:pt idx="4">
                  <c:v>211.55</c:v>
                </c:pt>
                <c:pt idx="5">
                  <c:v>247.44</c:v>
                </c:pt>
                <c:pt idx="6">
                  <c:v>280.68</c:v>
                </c:pt>
                <c:pt idx="7">
                  <c:v>362.42</c:v>
                </c:pt>
              </c:numCache>
            </c:numRef>
          </c:val>
        </c:ser>
        <c:ser>
          <c:idx val="1"/>
          <c:order val="1"/>
          <c:tx>
            <c:strRef>
              <c:f>'Faixas de Peso'!F4</c:f>
              <c:strCache>
                <c:ptCount val="1"/>
                <c:pt idx="0">
                  <c:v>Preço TRANSUA</c:v>
                </c:pt>
              </c:strCache>
            </c:strRef>
          </c:tx>
          <c:spPr>
            <a:solidFill>
              <a:srgbClr val="2e75b6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'Faixas de Peso'!$B$5:$B$12</c:f>
              <c:strCache>
                <c:ptCount val="8"/>
                <c:pt idx="0">
                  <c:v>0 - 20 kg</c:v>
                </c:pt>
                <c:pt idx="1">
                  <c:v>20 - 40 kg</c:v>
                </c:pt>
                <c:pt idx="2">
                  <c:v>40 - 60 kg</c:v>
                </c:pt>
                <c:pt idx="3">
                  <c:v>60 - 70 kg</c:v>
                </c:pt>
                <c:pt idx="4">
                  <c:v>70 - 90 kg</c:v>
                </c:pt>
                <c:pt idx="5">
                  <c:v>90 - 120 kg</c:v>
                </c:pt>
                <c:pt idx="6">
                  <c:v>120 - 160 kg</c:v>
                </c:pt>
                <c:pt idx="7">
                  <c:v>160+ kg</c:v>
                </c:pt>
              </c:strCache>
            </c:strRef>
          </c:cat>
          <c:val>
            <c:numRef>
              <c:f>'Faixas de Peso'!$F$5:$F$12</c:f>
              <c:numCache>
                <c:formatCode>"R$ "#,##0.00</c:formatCode>
                <c:ptCount val="8"/>
                <c:pt idx="0">
                  <c:v>127.67</c:v>
                </c:pt>
                <c:pt idx="1">
                  <c:v>129.48</c:v>
                </c:pt>
                <c:pt idx="2">
                  <c:v>145.85</c:v>
                </c:pt>
                <c:pt idx="3">
                  <c:v>158.24</c:v>
                </c:pt>
                <c:pt idx="4">
                  <c:v>185.31</c:v>
                </c:pt>
                <c:pt idx="5">
                  <c:v>247.68</c:v>
                </c:pt>
                <c:pt idx="6">
                  <c:v>265.95</c:v>
                </c:pt>
                <c:pt idx="7">
                  <c:v>407.25</c:v>
                </c:pt>
              </c:numCache>
            </c:numRef>
          </c:val>
        </c:ser>
        <c:gapWidth val="60"/>
        <c:overlap val="0"/>
        <c:axId val="99926430"/>
        <c:axId val="46858276"/>
      </c:barChart>
      <c:catAx>
        <c:axId val="999264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58276"/>
        <c:crosses val="autoZero"/>
        <c:auto val="1"/>
        <c:lblAlgn val="ctr"/>
        <c:lblOffset val="100"/>
        <c:noMultiLvlLbl val="0"/>
      </c:catAx>
      <c:valAx>
        <c:axId val="468582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 por pedido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264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8</xdr:col>
      <xdr:colOff>307440</xdr:colOff>
      <xdr:row>33</xdr:row>
      <xdr:rowOff>32760</xdr:rowOff>
    </xdr:to>
    <xdr:graphicFrame>
      <xdr:nvGraphicFramePr>
        <xdr:cNvPr id="0" name="Chart 1"/>
        <xdr:cNvGraphicFramePr/>
      </xdr:nvGraphicFramePr>
      <xdr:xfrm>
        <a:off x="141120" y="409572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8" min="3" style="0" width="16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B4" s="3" t="s">
        <v>2</v>
      </c>
      <c r="C4" s="4" t="s">
        <v>3</v>
      </c>
      <c r="D4" s="4"/>
      <c r="E4" s="4" t="s">
        <v>4</v>
      </c>
      <c r="F4" s="4"/>
      <c r="G4" s="3" t="s">
        <v>5</v>
      </c>
      <c r="H4" s="3" t="s">
        <v>6</v>
      </c>
    </row>
    <row r="5" customFormat="false" ht="36" hidden="false" customHeight="true" outlineLevel="0" collapsed="false">
      <c r="B5" s="5" t="n">
        <v>1205</v>
      </c>
      <c r="C5" s="6" t="n">
        <v>194095.28</v>
      </c>
      <c r="D5" s="6"/>
      <c r="E5" s="6" t="n">
        <v>199196.27</v>
      </c>
      <c r="F5" s="6"/>
      <c r="G5" s="7" t="n">
        <v>0.0262808554643885</v>
      </c>
      <c r="H5" s="8" t="n">
        <v>0.588381742738589</v>
      </c>
    </row>
    <row r="7" customFormat="false" ht="15" hidden="false" customHeight="false" outlineLevel="0" collapsed="false">
      <c r="B7" s="9" t="s">
        <v>7</v>
      </c>
      <c r="C7" s="10"/>
      <c r="D7" s="10"/>
      <c r="E7" s="10"/>
      <c r="F7" s="10"/>
      <c r="G7" s="10"/>
      <c r="H7" s="10"/>
    </row>
    <row r="8" customFormat="false" ht="31.5" hidden="false" customHeight="true" outlineLevel="0" collapsed="false">
      <c r="B8" s="11" t="s">
        <v>8</v>
      </c>
      <c r="C8" s="11" t="s">
        <v>9</v>
      </c>
      <c r="D8" s="11" t="s">
        <v>10</v>
      </c>
      <c r="E8" s="11" t="s">
        <v>11</v>
      </c>
      <c r="F8" s="11" t="s">
        <v>5</v>
      </c>
      <c r="G8" s="11" t="s">
        <v>12</v>
      </c>
      <c r="H8" s="11" t="s">
        <v>13</v>
      </c>
    </row>
    <row r="9" customFormat="false" ht="15" hidden="false" customHeight="false" outlineLevel="0" collapsed="false">
      <c r="B9" s="12" t="s">
        <v>14</v>
      </c>
      <c r="C9" s="13" t="n">
        <v>709</v>
      </c>
      <c r="D9" s="14" t="n">
        <v>153.54</v>
      </c>
      <c r="E9" s="14" t="n">
        <v>136.39</v>
      </c>
      <c r="F9" s="15" t="n">
        <f aca="false">E9/D9-1</f>
        <v>-0.111697277582389</v>
      </c>
      <c r="G9" s="16" t="n">
        <v>0.787023977433004</v>
      </c>
      <c r="H9" s="17" t="str">
        <f aca="false">IF(F9&lt;=0,"Competitivo",IF(F9&lt;=0.1,"Ajuste fino",IF(F9&lt;=0.2,"Precisa melhorar","Crítico")))</f>
        <v>Competitivo</v>
      </c>
    </row>
    <row r="10" customFormat="false" ht="15" hidden="false" customHeight="false" outlineLevel="0" collapsed="false">
      <c r="B10" s="12" t="s">
        <v>15</v>
      </c>
      <c r="C10" s="13" t="n">
        <v>496</v>
      </c>
      <c r="D10" s="14" t="n">
        <v>171.84</v>
      </c>
      <c r="E10" s="14" t="n">
        <v>206.65</v>
      </c>
      <c r="F10" s="15" t="n">
        <f aca="false">E10/D10-1</f>
        <v>0.202572160148976</v>
      </c>
      <c r="G10" s="16" t="n">
        <v>0.304435483870968</v>
      </c>
      <c r="H10" s="17" t="str">
        <f aca="false">IF(F10&lt;=0,"Competitivo",IF(F10&lt;=0.1,"Ajuste fino",IF(F10&lt;=0.2,"Precisa melhorar","Crítico")))</f>
        <v>Crítico</v>
      </c>
    </row>
    <row r="11" customFormat="false" ht="15" hidden="false" customHeight="false" outlineLevel="0" collapsed="false">
      <c r="B11" s="18" t="s">
        <v>16</v>
      </c>
      <c r="C11" s="19" t="n">
        <f aca="false">SUM(C9:C10)</f>
        <v>1205</v>
      </c>
      <c r="D11" s="20" t="n">
        <f aca="false">SUMPRODUCT(C9:C10,D9:D10)/C11</f>
        <v>161.072614107884</v>
      </c>
      <c r="E11" s="20" t="n">
        <f aca="false">SUMPRODUCT(C9:C10,E9:E10)/C11</f>
        <v>165.310298755187</v>
      </c>
      <c r="F11" s="21" t="n">
        <f aca="false">E11/D11-1</f>
        <v>0.0263091567165139</v>
      </c>
      <c r="G11" s="22" t="n">
        <v>0.588381742738589</v>
      </c>
      <c r="H11" s="23" t="str">
        <f aca="false">IF(F11&lt;=0,"Competitivo",IF(F11&lt;=0.1,"Ajuste fino",IF(F11&lt;=0.2,"Precisa melhorar","Crítico")))</f>
        <v>Ajuste fino</v>
      </c>
    </row>
    <row r="13" customFormat="false" ht="15" hidden="false" customHeight="false" outlineLevel="0" collapsed="false">
      <c r="B13" s="9" t="s">
        <v>17</v>
      </c>
      <c r="C13" s="10"/>
      <c r="D13" s="10"/>
      <c r="E13" s="10"/>
      <c r="F13" s="10"/>
      <c r="G13" s="10"/>
      <c r="H13" s="10"/>
    </row>
    <row r="14" customFormat="false" ht="31.5" hidden="false" customHeight="true" outlineLevel="0" collapsed="false">
      <c r="B14" s="11" t="s">
        <v>8</v>
      </c>
      <c r="C14" s="11" t="s">
        <v>18</v>
      </c>
      <c r="D14" s="11" t="s">
        <v>19</v>
      </c>
      <c r="E14" s="11" t="s">
        <v>20</v>
      </c>
      <c r="F14" s="11" t="s">
        <v>21</v>
      </c>
      <c r="G14" s="11" t="s">
        <v>22</v>
      </c>
      <c r="H14" s="11" t="s">
        <v>23</v>
      </c>
    </row>
    <row r="15" customFormat="false" ht="15" hidden="false" customHeight="false" outlineLevel="0" collapsed="false">
      <c r="B15" s="12" t="s">
        <v>16</v>
      </c>
      <c r="C15" s="24" t="n">
        <v>0.1652</v>
      </c>
      <c r="D15" s="15" t="n">
        <v>0.0263</v>
      </c>
      <c r="E15" s="25" t="n">
        <f aca="false">(C15-D15)*100</f>
        <v>13.89</v>
      </c>
      <c r="F15" s="16" t="n">
        <v>0.279</v>
      </c>
      <c r="G15" s="26" t="n">
        <v>0.588</v>
      </c>
      <c r="H15" s="27" t="n">
        <v>-0.0706</v>
      </c>
    </row>
    <row r="16" customFormat="false" ht="15" hidden="false" customHeight="false" outlineLevel="0" collapsed="false">
      <c r="B16" s="12" t="s">
        <v>24</v>
      </c>
      <c r="C16" s="24" t="n">
        <v>0.0427</v>
      </c>
      <c r="D16" s="15" t="n">
        <v>-0.1117</v>
      </c>
      <c r="E16" s="25" t="n">
        <f aca="false">(C16-D16)*100</f>
        <v>15.44</v>
      </c>
      <c r="F16" s="16" t="n">
        <v>0.457</v>
      </c>
      <c r="G16" s="26" t="n">
        <v>0.787</v>
      </c>
      <c r="H16" s="27" t="n">
        <v>-0.1117</v>
      </c>
    </row>
    <row r="17" customFormat="false" ht="15" hidden="false" customHeight="false" outlineLevel="0" collapsed="false">
      <c r="B17" s="12" t="s">
        <v>25</v>
      </c>
      <c r="C17" s="24" t="n">
        <v>0.3218</v>
      </c>
      <c r="D17" s="15" t="n">
        <v>0.2025</v>
      </c>
      <c r="E17" s="25" t="n">
        <f aca="false">(C17-D17)*100</f>
        <v>11.93</v>
      </c>
      <c r="F17" s="16" t="n">
        <v>0.024</v>
      </c>
      <c r="G17" s="26" t="n">
        <v>0.304</v>
      </c>
      <c r="H17" s="27" t="n">
        <v>-0.018</v>
      </c>
    </row>
    <row r="19" customFormat="false" ht="15" hidden="false" customHeight="false" outlineLevel="0" collapsed="false">
      <c r="B19" s="9" t="s">
        <v>26</v>
      </c>
      <c r="C19" s="10"/>
      <c r="D19" s="10"/>
      <c r="E19" s="10"/>
      <c r="F19" s="10"/>
      <c r="G19" s="10"/>
      <c r="H19" s="10"/>
    </row>
    <row r="20" customFormat="false" ht="30" hidden="false" customHeight="true" outlineLevel="0" collapsed="false">
      <c r="B20" s="28" t="s">
        <v>27</v>
      </c>
      <c r="C20" s="28"/>
      <c r="D20" s="28"/>
      <c r="E20" s="28"/>
      <c r="F20" s="28"/>
      <c r="G20" s="28"/>
      <c r="H20" s="28"/>
    </row>
    <row r="21" customFormat="false" ht="30" hidden="false" customHeight="true" outlineLevel="0" collapsed="false">
      <c r="B21" s="28" t="s">
        <v>28</v>
      </c>
      <c r="C21" s="28"/>
      <c r="D21" s="28"/>
      <c r="E21" s="28"/>
      <c r="F21" s="28"/>
      <c r="G21" s="28"/>
      <c r="H21" s="28"/>
    </row>
    <row r="22" customFormat="false" ht="30" hidden="false" customHeight="true" outlineLevel="0" collapsed="false">
      <c r="B22" s="28" t="s">
        <v>29</v>
      </c>
      <c r="C22" s="28"/>
      <c r="D22" s="28"/>
      <c r="E22" s="28"/>
      <c r="F22" s="28"/>
      <c r="G22" s="28"/>
      <c r="H22" s="28"/>
    </row>
    <row r="24" customFormat="false" ht="15" hidden="false" customHeight="false" outlineLevel="0" collapsed="false">
      <c r="B24" s="9" t="s">
        <v>30</v>
      </c>
      <c r="C24" s="10"/>
      <c r="D24" s="10"/>
      <c r="E24" s="10"/>
      <c r="F24" s="10"/>
      <c r="G24" s="10"/>
      <c r="H24" s="10"/>
    </row>
    <row r="25" customFormat="false" ht="30" hidden="false" customHeight="true" outlineLevel="0" collapsed="false">
      <c r="B25" s="29" t="s">
        <v>31</v>
      </c>
      <c r="C25" s="29"/>
      <c r="D25" s="29"/>
      <c r="E25" s="29"/>
      <c r="F25" s="29"/>
      <c r="G25" s="29"/>
      <c r="H25" s="29"/>
    </row>
    <row r="26" customFormat="false" ht="30" hidden="false" customHeight="true" outlineLevel="0" collapsed="false">
      <c r="B26" s="29" t="s">
        <v>32</v>
      </c>
      <c r="C26" s="29"/>
      <c r="D26" s="29"/>
      <c r="E26" s="29"/>
      <c r="F26" s="29"/>
      <c r="G26" s="29"/>
      <c r="H26" s="29"/>
    </row>
    <row r="27" customFormat="false" ht="30" hidden="false" customHeight="true" outlineLevel="0" collapsed="false">
      <c r="B27" s="29" t="s">
        <v>33</v>
      </c>
      <c r="C27" s="29"/>
      <c r="D27" s="29"/>
      <c r="E27" s="29"/>
      <c r="F27" s="29"/>
      <c r="G27" s="29"/>
      <c r="H27" s="29"/>
    </row>
    <row r="28" customFormat="false" ht="30" hidden="false" customHeight="true" outlineLevel="0" collapsed="false">
      <c r="B28" s="29" t="s">
        <v>34</v>
      </c>
      <c r="C28" s="29"/>
      <c r="D28" s="29"/>
      <c r="E28" s="29"/>
      <c r="F28" s="29"/>
      <c r="G28" s="29"/>
      <c r="H28" s="29"/>
    </row>
    <row r="29" customFormat="false" ht="30" hidden="false" customHeight="true" outlineLevel="0" collapsed="false">
      <c r="B29" s="29" t="s">
        <v>35</v>
      </c>
      <c r="C29" s="29"/>
      <c r="D29" s="29"/>
      <c r="E29" s="29"/>
      <c r="F29" s="29"/>
      <c r="G29" s="29"/>
      <c r="H29" s="29"/>
    </row>
    <row r="30" customFormat="false" ht="30" hidden="false" customHeight="true" outlineLevel="0" collapsed="false">
      <c r="B30" s="29" t="s">
        <v>36</v>
      </c>
      <c r="C30" s="29"/>
      <c r="D30" s="29"/>
      <c r="E30" s="29"/>
      <c r="F30" s="29"/>
      <c r="G30" s="29"/>
      <c r="H30" s="29"/>
    </row>
    <row r="32" customFormat="false" ht="15" hidden="false" customHeight="false" outlineLevel="0" collapsed="false">
      <c r="B32" s="9" t="s">
        <v>37</v>
      </c>
      <c r="C32" s="10"/>
      <c r="D32" s="10"/>
      <c r="E32" s="10"/>
      <c r="F32" s="10"/>
      <c r="G32" s="10"/>
      <c r="H32" s="10"/>
    </row>
    <row r="33" customFormat="false" ht="21.75" hidden="false" customHeight="true" outlineLevel="0" collapsed="false">
      <c r="B33" s="30" t="s">
        <v>38</v>
      </c>
      <c r="C33" s="30"/>
      <c r="D33" s="30"/>
      <c r="E33" s="30"/>
      <c r="F33" s="30"/>
      <c r="G33" s="30"/>
      <c r="H33" s="30"/>
    </row>
    <row r="34" customFormat="false" ht="21.75" hidden="false" customHeight="true" outlineLevel="0" collapsed="false">
      <c r="B34" s="30" t="s">
        <v>39</v>
      </c>
      <c r="C34" s="30"/>
      <c r="D34" s="30"/>
      <c r="E34" s="30"/>
      <c r="F34" s="30"/>
      <c r="G34" s="30"/>
      <c r="H34" s="30"/>
    </row>
    <row r="35" customFormat="false" ht="21.75" hidden="false" customHeight="true" outlineLevel="0" collapsed="false">
      <c r="B35" s="30" t="s">
        <v>40</v>
      </c>
      <c r="C35" s="30"/>
      <c r="D35" s="30"/>
      <c r="E35" s="30"/>
      <c r="F35" s="30"/>
      <c r="G35" s="30"/>
      <c r="H35" s="30"/>
    </row>
    <row r="36" customFormat="false" ht="21.75" hidden="false" customHeight="true" outlineLevel="0" collapsed="false">
      <c r="B36" s="30" t="s">
        <v>41</v>
      </c>
      <c r="C36" s="30"/>
      <c r="D36" s="30"/>
      <c r="E36" s="30"/>
      <c r="F36" s="30"/>
      <c r="G36" s="30"/>
      <c r="H36" s="30"/>
    </row>
    <row r="37" customFormat="false" ht="21.75" hidden="false" customHeight="true" outlineLevel="0" collapsed="false">
      <c r="B37" s="30" t="s">
        <v>42</v>
      </c>
      <c r="C37" s="30"/>
      <c r="D37" s="30"/>
      <c r="E37" s="30"/>
      <c r="F37" s="30"/>
      <c r="G37" s="30"/>
      <c r="H37" s="30"/>
    </row>
    <row r="38" customFormat="false" ht="21.75" hidden="false" customHeight="true" outlineLevel="0" collapsed="false">
      <c r="B38" s="31" t="s">
        <v>43</v>
      </c>
      <c r="C38" s="31"/>
      <c r="D38" s="31"/>
      <c r="E38" s="31"/>
      <c r="F38" s="31"/>
      <c r="G38" s="31"/>
      <c r="H38" s="31"/>
    </row>
  </sheetData>
  <mergeCells count="21">
    <mergeCell ref="B1:H1"/>
    <mergeCell ref="B2:H2"/>
    <mergeCell ref="C4:D4"/>
    <mergeCell ref="E4:F4"/>
    <mergeCell ref="C5:D5"/>
    <mergeCell ref="E5:F5"/>
    <mergeCell ref="B20:H20"/>
    <mergeCell ref="B21:H21"/>
    <mergeCell ref="B22:H22"/>
    <mergeCell ref="B25:H25"/>
    <mergeCell ref="B26:H26"/>
    <mergeCell ref="B27:H27"/>
    <mergeCell ref="B28:H28"/>
    <mergeCell ref="B29:H29"/>
    <mergeCell ref="B30:H30"/>
    <mergeCell ref="B33:H33"/>
    <mergeCell ref="B34:H34"/>
    <mergeCell ref="B35:H35"/>
    <mergeCell ref="B36:H36"/>
    <mergeCell ref="B37:H37"/>
    <mergeCell ref="B38:H38"/>
  </mergeCells>
  <conditionalFormatting sqref="F9:F11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0.1</formula>
    </cfRule>
  </conditionalFormatting>
  <conditionalFormatting sqref="H9:H11">
    <cfRule type="cellIs" priority="4" operator="equal" aboveAverage="0" equalAverage="0" bottom="0" percent="0" rank="0" text="" dxfId="2">
      <formula>"Competitivo"</formula>
    </cfRule>
    <cfRule type="cellIs" priority="5" operator="equal" aboveAverage="0" equalAverage="0" bottom="0" percent="0" rank="0" text="" dxfId="3">
      <formula>"Ajuste fino"</formula>
    </cfRule>
    <cfRule type="cellIs" priority="6" operator="equal" aboveAverage="0" equalAverage="0" bottom="0" percent="0" rank="0" text="" dxfId="4">
      <formula>"Precisa melhorar"</formula>
    </cfRule>
    <cfRule type="cellIs" priority="7" operator="equal" aboveAverage="0" equalAverage="0" bottom="0" percent="0" rank="0" text="" dxfId="5">
      <formula>"Crítico"</formula>
    </cfRule>
  </conditionalFormatting>
  <conditionalFormatting sqref="C15:D17">
    <cfRule type="cellIs" priority="8" operator="lessThanOrEqual" aboveAverage="0" equalAverage="0" bottom="0" percent="0" rank="0" text="" dxfId="0">
      <formula>0</formula>
    </cfRule>
    <cfRule type="cellIs" priority="9" operator="greaterThan" aboveAverage="0" equalAverage="0" bottom="0" percent="0" rank="0" text="" dxfId="1">
      <formula>0.1</formula>
    </cfRule>
  </conditionalFormatting>
  <conditionalFormatting sqref="H15:H17">
    <cfRule type="cellIs" priority="10" operator="lessThanOrEqual" aboveAverage="0" equalAverage="0" bottom="0" percent="0" rank="0" text="" dxfId="0">
      <formula>0</formula>
    </cfRule>
    <cfRule type="cellIs" priority="11" operator="greaterThan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6" hidden="false" customHeight="true" outlineLevel="0" collapsed="false">
      <c r="B1" s="1" t="s">
        <v>44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45</v>
      </c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B4" s="11" t="s">
        <v>46</v>
      </c>
      <c r="C4" s="11" t="s">
        <v>8</v>
      </c>
      <c r="D4" s="11" t="s">
        <v>9</v>
      </c>
      <c r="E4" s="11" t="s">
        <v>47</v>
      </c>
      <c r="F4" s="11" t="s">
        <v>48</v>
      </c>
      <c r="G4" s="11" t="s">
        <v>5</v>
      </c>
      <c r="H4" s="11" t="s">
        <v>12</v>
      </c>
      <c r="I4" s="11" t="s">
        <v>49</v>
      </c>
      <c r="J4" s="11" t="s">
        <v>13</v>
      </c>
    </row>
    <row r="5" customFormat="false" ht="15" hidden="false" customHeight="false" outlineLevel="0" collapsed="false">
      <c r="B5" s="12" t="s">
        <v>50</v>
      </c>
      <c r="C5" s="17" t="s">
        <v>51</v>
      </c>
      <c r="D5" s="13" t="n">
        <v>228</v>
      </c>
      <c r="E5" s="14" t="n">
        <v>152.74</v>
      </c>
      <c r="F5" s="14" t="n">
        <v>137.22</v>
      </c>
      <c r="G5" s="15" t="n">
        <f aca="false">F5/E5-1</f>
        <v>-0.101610580070708</v>
      </c>
      <c r="H5" s="16" t="n">
        <v>0.75</v>
      </c>
      <c r="I5" s="32" t="n">
        <f aca="false">MAX(0,1-E5/F5)</f>
        <v>0</v>
      </c>
      <c r="J5" s="17" t="str">
        <f aca="false">IF(G5&lt;=0,"Competitivo",IF(G5&lt;=0.1,"Ajuste fino",IF(G5&lt;=0.2,"Precisa melhorar","Crítico")))</f>
        <v>Competitivo</v>
      </c>
    </row>
    <row r="6" customFormat="false" ht="15" hidden="false" customHeight="false" outlineLevel="0" collapsed="false">
      <c r="B6" s="18" t="s">
        <v>52</v>
      </c>
      <c r="C6" s="33" t="s">
        <v>51</v>
      </c>
      <c r="D6" s="34" t="n">
        <v>215</v>
      </c>
      <c r="E6" s="35" t="n">
        <v>155.14</v>
      </c>
      <c r="F6" s="35" t="n">
        <v>138.82</v>
      </c>
      <c r="G6" s="21" t="n">
        <f aca="false">F6/E6-1</f>
        <v>-0.105195307464226</v>
      </c>
      <c r="H6" s="36" t="n">
        <v>0.767441860465116</v>
      </c>
      <c r="I6" s="37" t="n">
        <f aca="false">MAX(0,1-E6/F6)</f>
        <v>0</v>
      </c>
      <c r="J6" s="17" t="str">
        <f aca="false">IF(G6&lt;=0,"Competitivo",IF(G6&lt;=0.1,"Ajuste fino",IF(G6&lt;=0.2,"Precisa melhorar","Crítico")))</f>
        <v>Competitivo</v>
      </c>
    </row>
    <row r="7" customFormat="false" ht="15" hidden="false" customHeight="false" outlineLevel="0" collapsed="false">
      <c r="B7" s="12" t="s">
        <v>53</v>
      </c>
      <c r="C7" s="17" t="s">
        <v>51</v>
      </c>
      <c r="D7" s="13" t="n">
        <v>128</v>
      </c>
      <c r="E7" s="14" t="n">
        <v>140.13</v>
      </c>
      <c r="F7" s="14" t="n">
        <v>127.8</v>
      </c>
      <c r="G7" s="15" t="n">
        <f aca="false">F7/E7-1</f>
        <v>-0.0879897238278741</v>
      </c>
      <c r="H7" s="16" t="n">
        <v>0.7109375</v>
      </c>
      <c r="I7" s="32" t="n">
        <f aca="false">MAX(0,1-E7/F7)</f>
        <v>0</v>
      </c>
      <c r="J7" s="17" t="str">
        <f aca="false">IF(G7&lt;=0,"Competitivo",IF(G7&lt;=0.1,"Ajuste fino",IF(G7&lt;=0.2,"Precisa melhorar","Crítico")))</f>
        <v>Competitivo</v>
      </c>
    </row>
    <row r="8" customFormat="false" ht="15" hidden="false" customHeight="false" outlineLevel="0" collapsed="false">
      <c r="B8" s="18" t="s">
        <v>54</v>
      </c>
      <c r="C8" s="33" t="s">
        <v>51</v>
      </c>
      <c r="D8" s="34" t="n">
        <v>117</v>
      </c>
      <c r="E8" s="35" t="n">
        <v>166.02</v>
      </c>
      <c r="F8" s="35" t="n">
        <v>140.72</v>
      </c>
      <c r="G8" s="21" t="n">
        <f aca="false">F8/E8-1</f>
        <v>-0.152391278159258</v>
      </c>
      <c r="H8" s="36" t="n">
        <v>0.94017094017094</v>
      </c>
      <c r="I8" s="37" t="n">
        <f aca="false">MAX(0,1-E8/F8)</f>
        <v>0</v>
      </c>
      <c r="J8" s="17" t="str">
        <f aca="false">IF(G8&lt;=0,"Competitivo",IF(G8&lt;=0.1,"Ajuste fino",IF(G8&lt;=0.2,"Precisa melhorar","Crítico")))</f>
        <v>Competitivo</v>
      </c>
    </row>
    <row r="9" customFormat="false" ht="15" hidden="false" customHeight="false" outlineLevel="0" collapsed="false">
      <c r="B9" s="12" t="s">
        <v>55</v>
      </c>
      <c r="C9" s="17" t="s">
        <v>25</v>
      </c>
      <c r="D9" s="13" t="n">
        <v>64</v>
      </c>
      <c r="E9" s="14" t="n">
        <v>150.86</v>
      </c>
      <c r="F9" s="14" t="n">
        <v>188.56</v>
      </c>
      <c r="G9" s="15" t="n">
        <f aca="false">F9/E9-1</f>
        <v>0.249900570064961</v>
      </c>
      <c r="H9" s="16" t="n">
        <v>0.21875</v>
      </c>
      <c r="I9" s="32" t="n">
        <f aca="false">MAX(0,1-E9/F9)</f>
        <v>0.199936359779381</v>
      </c>
      <c r="J9" s="17" t="str">
        <f aca="false">IF(G9&lt;=0,"Competitivo",IF(G9&lt;=0.1,"Ajuste fino",IF(G9&lt;=0.2,"Precisa melhorar","Crítico")))</f>
        <v>Crítico</v>
      </c>
    </row>
    <row r="10" customFormat="false" ht="15" hidden="false" customHeight="false" outlineLevel="0" collapsed="false">
      <c r="B10" s="18" t="s">
        <v>56</v>
      </c>
      <c r="C10" s="33" t="s">
        <v>25</v>
      </c>
      <c r="D10" s="34" t="n">
        <v>48</v>
      </c>
      <c r="E10" s="35" t="n">
        <v>160.35</v>
      </c>
      <c r="F10" s="35" t="n">
        <v>183.75</v>
      </c>
      <c r="G10" s="21" t="n">
        <f aca="false">F10/E10-1</f>
        <v>0.145930776426567</v>
      </c>
      <c r="H10" s="36" t="n">
        <v>0.3125</v>
      </c>
      <c r="I10" s="37" t="n">
        <f aca="false">MAX(0,1-E10/F10)</f>
        <v>0.12734693877551</v>
      </c>
      <c r="J10" s="17" t="str">
        <f aca="false">IF(G10&lt;=0,"Competitivo",IF(G10&lt;=0.1,"Ajuste fino",IF(G10&lt;=0.2,"Precisa melhorar","Crítico")))</f>
        <v>Precisa melhorar</v>
      </c>
    </row>
    <row r="11" customFormat="false" ht="15" hidden="false" customHeight="false" outlineLevel="0" collapsed="false">
      <c r="B11" s="12" t="s">
        <v>57</v>
      </c>
      <c r="C11" s="17" t="s">
        <v>25</v>
      </c>
      <c r="D11" s="13" t="n">
        <v>38</v>
      </c>
      <c r="E11" s="14" t="n">
        <v>177.67</v>
      </c>
      <c r="F11" s="14" t="n">
        <v>196.03</v>
      </c>
      <c r="G11" s="15" t="n">
        <f aca="false">F11/E11-1</f>
        <v>0.103337648449372</v>
      </c>
      <c r="H11" s="16" t="n">
        <v>0.368421052631579</v>
      </c>
      <c r="I11" s="32" t="n">
        <f aca="false">MAX(0,1-E11/F11)</f>
        <v>0.0936591338060502</v>
      </c>
      <c r="J11" s="17" t="str">
        <f aca="false">IF(G11&lt;=0,"Competitivo",IF(G11&lt;=0.1,"Ajuste fino",IF(G11&lt;=0.2,"Precisa melhorar","Crítico")))</f>
        <v>Precisa melhorar</v>
      </c>
    </row>
    <row r="12" customFormat="false" ht="15" hidden="false" customHeight="false" outlineLevel="0" collapsed="false">
      <c r="B12" s="18" t="s">
        <v>58</v>
      </c>
      <c r="C12" s="33" t="s">
        <v>25</v>
      </c>
      <c r="D12" s="34" t="n">
        <v>34</v>
      </c>
      <c r="E12" s="35" t="n">
        <v>170.32</v>
      </c>
      <c r="F12" s="35" t="n">
        <v>201.53</v>
      </c>
      <c r="G12" s="21" t="n">
        <f aca="false">F12/E12-1</f>
        <v>0.183243306716768</v>
      </c>
      <c r="H12" s="36" t="n">
        <v>0.205882352941177</v>
      </c>
      <c r="I12" s="37" t="n">
        <f aca="false">MAX(0,1-E12/F12)</f>
        <v>0.154865280603384</v>
      </c>
      <c r="J12" s="17" t="str">
        <f aca="false">IF(G12&lt;=0,"Competitivo",IF(G12&lt;=0.1,"Ajuste fino",IF(G12&lt;=0.2,"Precisa melhorar","Crítico")))</f>
        <v>Precisa melhorar</v>
      </c>
    </row>
    <row r="13" customFormat="false" ht="15" hidden="false" customHeight="false" outlineLevel="0" collapsed="false">
      <c r="B13" s="12" t="s">
        <v>59</v>
      </c>
      <c r="C13" s="17" t="s">
        <v>25</v>
      </c>
      <c r="D13" s="13" t="n">
        <v>28</v>
      </c>
      <c r="E13" s="14" t="n">
        <v>165.27</v>
      </c>
      <c r="F13" s="14" t="n">
        <v>187.56</v>
      </c>
      <c r="G13" s="15" t="n">
        <f aca="false">F13/E13-1</f>
        <v>0.134870212379742</v>
      </c>
      <c r="H13" s="16" t="n">
        <v>0.214285714285714</v>
      </c>
      <c r="I13" s="32" t="n">
        <f aca="false">MAX(0,1-E13/F13)</f>
        <v>0.118841970569418</v>
      </c>
      <c r="J13" s="17" t="str">
        <f aca="false">IF(G13&lt;=0,"Competitivo",IF(G13&lt;=0.1,"Ajuste fino",IF(G13&lt;=0.2,"Precisa melhorar","Crítico")))</f>
        <v>Precisa melhorar</v>
      </c>
    </row>
    <row r="14" customFormat="false" ht="15" hidden="false" customHeight="false" outlineLevel="0" collapsed="false">
      <c r="B14" s="18" t="s">
        <v>60</v>
      </c>
      <c r="C14" s="33" t="s">
        <v>51</v>
      </c>
      <c r="D14" s="34" t="n">
        <v>21</v>
      </c>
      <c r="E14" s="35" t="n">
        <v>158.07</v>
      </c>
      <c r="F14" s="35" t="n">
        <v>130.73</v>
      </c>
      <c r="G14" s="21" t="n">
        <f aca="false">F14/E14-1</f>
        <v>-0.172961346239008</v>
      </c>
      <c r="H14" s="36" t="n">
        <v>1</v>
      </c>
      <c r="I14" s="37" t="n">
        <f aca="false">MAX(0,1-E14/F14)</f>
        <v>0</v>
      </c>
      <c r="J14" s="17" t="str">
        <f aca="false">IF(G14&lt;=0,"Competitivo",IF(G14&lt;=0.1,"Ajuste fino",IF(G14&lt;=0.2,"Precisa melhorar","Crítico")))</f>
        <v>Competitivo</v>
      </c>
    </row>
    <row r="15" customFormat="false" ht="15" hidden="false" customHeight="false" outlineLevel="0" collapsed="false">
      <c r="B15" s="12" t="s">
        <v>61</v>
      </c>
      <c r="C15" s="17" t="s">
        <v>25</v>
      </c>
      <c r="D15" s="13" t="n">
        <v>18</v>
      </c>
      <c r="E15" s="14" t="n">
        <v>167.29</v>
      </c>
      <c r="F15" s="14" t="n">
        <v>196</v>
      </c>
      <c r="G15" s="15" t="n">
        <f aca="false">F15/E15-1</f>
        <v>0.171618148126009</v>
      </c>
      <c r="H15" s="16" t="n">
        <v>0.277777777777778</v>
      </c>
      <c r="I15" s="32" t="n">
        <f aca="false">MAX(0,1-E15/F15)</f>
        <v>0.146479591836735</v>
      </c>
      <c r="J15" s="17" t="str">
        <f aca="false">IF(G15&lt;=0,"Competitivo",IF(G15&lt;=0.1,"Ajuste fino",IF(G15&lt;=0.2,"Precisa melhorar","Crítico")))</f>
        <v>Precisa melhorar</v>
      </c>
    </row>
    <row r="16" customFormat="false" ht="15" hidden="false" customHeight="false" outlineLevel="0" collapsed="false">
      <c r="B16" s="18" t="s">
        <v>62</v>
      </c>
      <c r="C16" s="33" t="s">
        <v>25</v>
      </c>
      <c r="D16" s="34" t="n">
        <v>16</v>
      </c>
      <c r="E16" s="35" t="n">
        <v>175.99</v>
      </c>
      <c r="F16" s="35" t="n">
        <v>188.57</v>
      </c>
      <c r="G16" s="21" t="n">
        <f aca="false">F16/E16-1</f>
        <v>0.071481334166714</v>
      </c>
      <c r="H16" s="36" t="n">
        <v>0.3125</v>
      </c>
      <c r="I16" s="37" t="n">
        <f aca="false">MAX(0,1-E16/F16)</f>
        <v>0.0667126266108076</v>
      </c>
      <c r="J16" s="17" t="str">
        <f aca="false">IF(G16&lt;=0,"Competitivo",IF(G16&lt;=0.1,"Ajuste fino",IF(G16&lt;=0.2,"Precisa melhorar","Crítico")))</f>
        <v>Ajuste fino</v>
      </c>
    </row>
    <row r="17" customFormat="false" ht="15" hidden="false" customHeight="false" outlineLevel="0" collapsed="false">
      <c r="B17" s="12" t="s">
        <v>63</v>
      </c>
      <c r="C17" s="17" t="s">
        <v>25</v>
      </c>
      <c r="D17" s="13" t="n">
        <v>10</v>
      </c>
      <c r="E17" s="14" t="n">
        <v>153.21</v>
      </c>
      <c r="F17" s="14" t="n">
        <v>173.93</v>
      </c>
      <c r="G17" s="15" t="n">
        <f aca="false">F17/E17-1</f>
        <v>0.135239214150512</v>
      </c>
      <c r="H17" s="16" t="n">
        <v>0.2</v>
      </c>
      <c r="I17" s="32" t="n">
        <f aca="false">MAX(0,1-E17/F17)</f>
        <v>0.119128384982464</v>
      </c>
      <c r="J17" s="17" t="str">
        <f aca="false">IF(G17&lt;=0,"Competitivo",IF(G17&lt;=0.1,"Ajuste fino",IF(G17&lt;=0.2,"Precisa melhorar","Crítico")))</f>
        <v>Precisa melhorar</v>
      </c>
    </row>
    <row r="18" customFormat="false" ht="15" hidden="false" customHeight="false" outlineLevel="0" collapsed="false">
      <c r="B18" s="18" t="s">
        <v>64</v>
      </c>
      <c r="C18" s="33" t="s">
        <v>25</v>
      </c>
      <c r="D18" s="34" t="n">
        <v>10</v>
      </c>
      <c r="E18" s="35" t="n">
        <v>169.22</v>
      </c>
      <c r="F18" s="35" t="n">
        <v>182.51</v>
      </c>
      <c r="G18" s="21" t="n">
        <f aca="false">F18/E18-1</f>
        <v>0.0785368159791986</v>
      </c>
      <c r="H18" s="36" t="n">
        <v>0.4</v>
      </c>
      <c r="I18" s="37" t="n">
        <f aca="false">MAX(0,1-E18/F18)</f>
        <v>0.0728179277847789</v>
      </c>
      <c r="J18" s="17" t="str">
        <f aca="false">IF(G18&lt;=0,"Competitivo",IF(G18&lt;=0.1,"Ajuste fino",IF(G18&lt;=0.2,"Precisa melhorar","Crítico")))</f>
        <v>Ajuste fino</v>
      </c>
    </row>
    <row r="19" customFormat="false" ht="15" hidden="false" customHeight="false" outlineLevel="0" collapsed="false">
      <c r="B19" s="12" t="s">
        <v>65</v>
      </c>
      <c r="C19" s="17" t="s">
        <v>25</v>
      </c>
      <c r="D19" s="13" t="n">
        <v>9</v>
      </c>
      <c r="E19" s="14" t="n">
        <v>166.94</v>
      </c>
      <c r="F19" s="14" t="n">
        <v>187.05</v>
      </c>
      <c r="G19" s="15" t="n">
        <f aca="false">F19/E19-1</f>
        <v>0.120462441595783</v>
      </c>
      <c r="H19" s="16" t="n">
        <v>0.111111111111111</v>
      </c>
      <c r="I19" s="32" t="n">
        <f aca="false">MAX(0,1-E19/F19)</f>
        <v>0.10751136059877</v>
      </c>
      <c r="J19" s="17" t="str">
        <f aca="false">IF(G19&lt;=0,"Competitivo",IF(G19&lt;=0.1,"Ajuste fino",IF(G19&lt;=0.2,"Precisa melhorar","Crítico")))</f>
        <v>Precisa melhorar</v>
      </c>
    </row>
    <row r="20" customFormat="false" ht="15" hidden="false" customHeight="false" outlineLevel="0" collapsed="false">
      <c r="B20" s="18" t="s">
        <v>66</v>
      </c>
      <c r="C20" s="33" t="s">
        <v>25</v>
      </c>
      <c r="D20" s="34" t="n">
        <v>9</v>
      </c>
      <c r="E20" s="35" t="n">
        <v>196.59</v>
      </c>
      <c r="F20" s="35" t="n">
        <v>197.07</v>
      </c>
      <c r="G20" s="21" t="n">
        <f aca="false">F20/E20-1</f>
        <v>0.00244162978788332</v>
      </c>
      <c r="H20" s="36" t="n">
        <v>0.666666666666667</v>
      </c>
      <c r="I20" s="37" t="n">
        <f aca="false">MAX(0,1-E20/F20)</f>
        <v>0.00243568275232142</v>
      </c>
      <c r="J20" s="17" t="str">
        <f aca="false">IF(G20&lt;=0,"Competitivo",IF(G20&lt;=0.1,"Ajuste fino",IF(G20&lt;=0.2,"Precisa melhorar","Crítico")))</f>
        <v>Ajuste fino</v>
      </c>
    </row>
    <row r="21" customFormat="false" ht="15" hidden="false" customHeight="false" outlineLevel="0" collapsed="false">
      <c r="B21" s="12" t="s">
        <v>67</v>
      </c>
      <c r="C21" s="17" t="s">
        <v>25</v>
      </c>
      <c r="D21" s="13" t="n">
        <v>9</v>
      </c>
      <c r="E21" s="14" t="n">
        <v>147.15</v>
      </c>
      <c r="F21" s="14" t="n">
        <v>172.04</v>
      </c>
      <c r="G21" s="15" t="n">
        <f aca="false">F21/E21-1</f>
        <v>0.169147128780156</v>
      </c>
      <c r="H21" s="16" t="n">
        <v>0</v>
      </c>
      <c r="I21" s="32" t="n">
        <f aca="false">MAX(0,1-E21/F21)</f>
        <v>0.144675656823994</v>
      </c>
      <c r="J21" s="17" t="str">
        <f aca="false">IF(G21&lt;=0,"Competitivo",IF(G21&lt;=0.1,"Ajuste fino",IF(G21&lt;=0.2,"Precisa melhorar","Crítico")))</f>
        <v>Precisa melhorar</v>
      </c>
    </row>
    <row r="22" customFormat="false" ht="15" hidden="false" customHeight="false" outlineLevel="0" collapsed="false">
      <c r="B22" s="18" t="s">
        <v>68</v>
      </c>
      <c r="C22" s="33" t="s">
        <v>25</v>
      </c>
      <c r="D22" s="34" t="n">
        <v>8</v>
      </c>
      <c r="E22" s="35" t="n">
        <v>171.19</v>
      </c>
      <c r="F22" s="35" t="n">
        <v>177.37</v>
      </c>
      <c r="G22" s="21" t="n">
        <f aca="false">F22/E22-1</f>
        <v>0.0361002394999708</v>
      </c>
      <c r="H22" s="36" t="n">
        <v>0.5</v>
      </c>
      <c r="I22" s="37" t="n">
        <f aca="false">MAX(0,1-E22/F22)</f>
        <v>0.0348424198004172</v>
      </c>
      <c r="J22" s="17" t="str">
        <f aca="false">IF(G22&lt;=0,"Competitivo",IF(G22&lt;=0.1,"Ajuste fino",IF(G22&lt;=0.2,"Precisa melhorar","Crítico")))</f>
        <v>Ajuste fino</v>
      </c>
    </row>
    <row r="23" customFormat="false" ht="15" hidden="false" customHeight="false" outlineLevel="0" collapsed="false">
      <c r="B23" s="12" t="s">
        <v>69</v>
      </c>
      <c r="C23" s="17" t="s">
        <v>25</v>
      </c>
      <c r="D23" s="13" t="n">
        <v>8</v>
      </c>
      <c r="E23" s="14" t="n">
        <v>169.69</v>
      </c>
      <c r="F23" s="14" t="n">
        <v>176.7</v>
      </c>
      <c r="G23" s="15" t="n">
        <f aca="false">F23/E23-1</f>
        <v>0.041310625257823</v>
      </c>
      <c r="H23" s="16" t="n">
        <v>0.375</v>
      </c>
      <c r="I23" s="32" t="n">
        <f aca="false">MAX(0,1-E23/F23)</f>
        <v>0.0396717600452744</v>
      </c>
      <c r="J23" s="17" t="str">
        <f aca="false">IF(G23&lt;=0,"Competitivo",IF(G23&lt;=0.1,"Ajuste fino",IF(G23&lt;=0.2,"Precisa melhorar","Crítico")))</f>
        <v>Ajuste fino</v>
      </c>
    </row>
    <row r="24" customFormat="false" ht="15" hidden="false" customHeight="false" outlineLevel="0" collapsed="false">
      <c r="B24" s="18" t="s">
        <v>70</v>
      </c>
      <c r="C24" s="33" t="s">
        <v>25</v>
      </c>
      <c r="D24" s="34" t="n">
        <v>8</v>
      </c>
      <c r="E24" s="35" t="n">
        <v>181.62</v>
      </c>
      <c r="F24" s="35" t="n">
        <v>193.01</v>
      </c>
      <c r="G24" s="21" t="n">
        <f aca="false">F24/E24-1</f>
        <v>0.0627133575597401</v>
      </c>
      <c r="H24" s="36" t="n">
        <v>0.375</v>
      </c>
      <c r="I24" s="37" t="n">
        <f aca="false">MAX(0,1-E24/F24)</f>
        <v>0.0590124863996684</v>
      </c>
      <c r="J24" s="17" t="str">
        <f aca="false">IF(G24&lt;=0,"Competitivo",IF(G24&lt;=0.1,"Ajuste fino",IF(G24&lt;=0.2,"Precisa melhorar","Crítico")))</f>
        <v>Ajuste fino</v>
      </c>
    </row>
    <row r="25" customFormat="false" ht="15" hidden="false" customHeight="false" outlineLevel="0" collapsed="false">
      <c r="B25" s="38" t="s">
        <v>71</v>
      </c>
      <c r="C25" s="39"/>
      <c r="D25" s="40" t="n">
        <f aca="false">SUM(D5:D24)</f>
        <v>1026</v>
      </c>
      <c r="E25" s="41" t="n">
        <f aca="false">SUMPRODUCT(D5:D24,E5:E24)/D25</f>
        <v>157.124259259259</v>
      </c>
      <c r="F25" s="41" t="n">
        <f aca="false">SUMPRODUCT(D5:D24,F5:F24)/D25</f>
        <v>152.663460038986</v>
      </c>
      <c r="G25" s="42" t="n">
        <f aca="false">F25/E25-1</f>
        <v>-0.0283902641215475</v>
      </c>
      <c r="H25" s="43" t="n">
        <v>0.630604288499025</v>
      </c>
      <c r="I25" s="44" t="n">
        <f aca="false">MAX(0,1-E25/F25)</f>
        <v>0</v>
      </c>
      <c r="J25" s="23" t="str">
        <f aca="false">IF(G25&lt;=0,"Competitivo",IF(G25&lt;=0.1,"Ajuste fino",IF(G25&lt;=0.2,"Precisa melhorar","Crítico")))</f>
        <v>Competitivo</v>
      </c>
    </row>
    <row r="27" customFormat="false" ht="15" hidden="false" customHeight="false" outlineLevel="0" collapsed="false">
      <c r="B27" s="45" t="s">
        <v>72</v>
      </c>
    </row>
    <row r="28" customFormat="false" ht="15" hidden="false" customHeight="false" outlineLevel="0" collapsed="false">
      <c r="B28" s="46" t="s">
        <v>73</v>
      </c>
    </row>
    <row r="29" customFormat="false" ht="15" hidden="false" customHeight="false" outlineLevel="0" collapsed="false">
      <c r="B29" s="47" t="s">
        <v>74</v>
      </c>
    </row>
    <row r="30" customFormat="false" ht="15" hidden="false" customHeight="false" outlineLevel="0" collapsed="false">
      <c r="B30" s="48" t="s">
        <v>75</v>
      </c>
    </row>
    <row r="31" customFormat="false" ht="15" hidden="false" customHeight="false" outlineLevel="0" collapsed="false">
      <c r="B31" s="49" t="s">
        <v>76</v>
      </c>
    </row>
  </sheetData>
  <mergeCells count="2">
    <mergeCell ref="B1:J1"/>
    <mergeCell ref="B2:J2"/>
  </mergeCells>
  <conditionalFormatting sqref="G5:G25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0.1</formula>
    </cfRule>
  </conditionalFormatting>
  <conditionalFormatting sqref="J5:J25">
    <cfRule type="cellIs" priority="4" operator="equal" aboveAverage="0" equalAverage="0" bottom="0" percent="0" rank="0" text="" dxfId="2">
      <formula>"Competitivo"</formula>
    </cfRule>
    <cfRule type="cellIs" priority="5" operator="equal" aboveAverage="0" equalAverage="0" bottom="0" percent="0" rank="0" text="" dxfId="3">
      <formula>"Ajuste fino"</formula>
    </cfRule>
    <cfRule type="cellIs" priority="6" operator="equal" aboveAverage="0" equalAverage="0" bottom="0" percent="0" rank="0" text="" dxfId="4">
      <formula>"Precisa melhorar"</formula>
    </cfRule>
    <cfRule type="cellIs" priority="7" operator="equal" aboveAverage="0" equalAverage="0" bottom="0" percent="0" rank="0" text="" dxfId="5">
      <formula>"Crítico"</formula>
    </cfRule>
  </conditionalFormatting>
  <conditionalFormatting sqref="I5:I24">
    <cfRule type="colorScale" priority="8">
      <colorScale>
        <cfvo type="num" val="0"/>
        <cfvo type="max" val="0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6" hidden="false" customHeight="true" outlineLevel="0" collapsed="false">
      <c r="B1" s="1" t="s">
        <v>77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78</v>
      </c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B4" s="11" t="s">
        <v>79</v>
      </c>
      <c r="C4" s="11" t="s">
        <v>9</v>
      </c>
      <c r="D4" s="11" t="s">
        <v>80</v>
      </c>
      <c r="E4" s="11" t="s">
        <v>81</v>
      </c>
      <c r="F4" s="11" t="s">
        <v>48</v>
      </c>
      <c r="G4" s="11" t="s">
        <v>82</v>
      </c>
      <c r="H4" s="11" t="s">
        <v>12</v>
      </c>
      <c r="I4" s="11" t="s">
        <v>83</v>
      </c>
      <c r="J4" s="11" t="s">
        <v>13</v>
      </c>
    </row>
    <row r="5" customFormat="false" ht="15" hidden="false" customHeight="false" outlineLevel="0" collapsed="false">
      <c r="B5" s="23" t="s">
        <v>84</v>
      </c>
      <c r="C5" s="13" t="n">
        <v>126</v>
      </c>
      <c r="D5" s="14" t="n">
        <v>88.54</v>
      </c>
      <c r="E5" s="14" t="n">
        <v>65.75</v>
      </c>
      <c r="F5" s="14" t="n">
        <v>127.67</v>
      </c>
      <c r="G5" s="15" t="n">
        <f aca="false">F5/D5-1</f>
        <v>0.441947142534448</v>
      </c>
      <c r="H5" s="16" t="n">
        <v>0.198412698412698</v>
      </c>
      <c r="I5" s="32" t="n">
        <f aca="false">MAX(0,1-D5/F5)</f>
        <v>0.306493303046918</v>
      </c>
      <c r="J5" s="17" t="str">
        <f aca="false">IF(G5&lt;=0,"Competitivo",IF(G5&lt;=0.1,"Ajuste fino",IF(G5&lt;=0.2,"Precisa melhorar","Crítico")))</f>
        <v>Crítico</v>
      </c>
    </row>
    <row r="6" customFormat="false" ht="15" hidden="false" customHeight="false" outlineLevel="0" collapsed="false">
      <c r="B6" s="23" t="s">
        <v>85</v>
      </c>
      <c r="C6" s="13" t="n">
        <v>383</v>
      </c>
      <c r="D6" s="14" t="n">
        <v>131.21</v>
      </c>
      <c r="E6" s="14" t="n">
        <v>84.14</v>
      </c>
      <c r="F6" s="14" t="n">
        <v>129.48</v>
      </c>
      <c r="G6" s="15" t="n">
        <f aca="false">F6/D6-1</f>
        <v>-0.0131849706577244</v>
      </c>
      <c r="H6" s="16" t="n">
        <v>0.605744125326371</v>
      </c>
      <c r="I6" s="32" t="n">
        <f aca="false">MAX(0,1-D6/F6)</f>
        <v>0</v>
      </c>
      <c r="J6" s="17" t="str">
        <f aca="false">IF(G6&lt;=0,"Competitivo",IF(G6&lt;=0.1,"Ajuste fino",IF(G6&lt;=0.2,"Precisa melhorar","Crítico")))</f>
        <v>Competitivo</v>
      </c>
    </row>
    <row r="7" customFormat="false" ht="15" hidden="false" customHeight="false" outlineLevel="0" collapsed="false">
      <c r="B7" s="23" t="s">
        <v>86</v>
      </c>
      <c r="C7" s="13" t="n">
        <v>267</v>
      </c>
      <c r="D7" s="14" t="n">
        <v>163.15</v>
      </c>
      <c r="E7" s="14" t="n">
        <v>137.18</v>
      </c>
      <c r="F7" s="14" t="n">
        <v>145.85</v>
      </c>
      <c r="G7" s="15" t="n">
        <f aca="false">F7/D7-1</f>
        <v>-0.106037388905915</v>
      </c>
      <c r="H7" s="16" t="n">
        <v>0.756554307116105</v>
      </c>
      <c r="I7" s="32" t="n">
        <f aca="false">MAX(0,1-D7/F7)</f>
        <v>0</v>
      </c>
      <c r="J7" s="17" t="str">
        <f aca="false">IF(G7&lt;=0,"Competitivo",IF(G7&lt;=0.1,"Ajuste fino",IF(G7&lt;=0.2,"Precisa melhorar","Crítico")))</f>
        <v>Competitivo</v>
      </c>
    </row>
    <row r="8" customFormat="false" ht="15" hidden="false" customHeight="false" outlineLevel="0" collapsed="false">
      <c r="B8" s="23" t="s">
        <v>87</v>
      </c>
      <c r="C8" s="13" t="n">
        <v>107</v>
      </c>
      <c r="D8" s="14" t="n">
        <v>186.06</v>
      </c>
      <c r="E8" s="14" t="n">
        <v>136.67</v>
      </c>
      <c r="F8" s="14" t="n">
        <v>158.24</v>
      </c>
      <c r="G8" s="15" t="n">
        <f aca="false">F8/D8-1</f>
        <v>-0.149521659679673</v>
      </c>
      <c r="H8" s="16" t="n">
        <v>0.794392523364486</v>
      </c>
      <c r="I8" s="32" t="n">
        <f aca="false">MAX(0,1-D8/F8)</f>
        <v>0</v>
      </c>
      <c r="J8" s="17" t="str">
        <f aca="false">IF(G8&lt;=0,"Competitivo",IF(G8&lt;=0.1,"Ajuste fino",IF(G8&lt;=0.2,"Precisa melhorar","Crítico")))</f>
        <v>Competitivo</v>
      </c>
    </row>
    <row r="9" customFormat="false" ht="15" hidden="false" customHeight="false" outlineLevel="0" collapsed="false">
      <c r="B9" s="23" t="s">
        <v>88</v>
      </c>
      <c r="C9" s="13" t="n">
        <v>45</v>
      </c>
      <c r="D9" s="14" t="n">
        <v>211.55</v>
      </c>
      <c r="E9" s="14" t="n">
        <v>165.57</v>
      </c>
      <c r="F9" s="14" t="n">
        <v>185.31</v>
      </c>
      <c r="G9" s="15" t="n">
        <f aca="false">F9/D9-1</f>
        <v>-0.124036870716143</v>
      </c>
      <c r="H9" s="16" t="n">
        <v>0.844444444444444</v>
      </c>
      <c r="I9" s="32" t="n">
        <f aca="false">MAX(0,1-D9/F9)</f>
        <v>0</v>
      </c>
      <c r="J9" s="17" t="str">
        <f aca="false">IF(G9&lt;=0,"Competitivo",IF(G9&lt;=0.1,"Ajuste fino",IF(G9&lt;=0.2,"Precisa melhorar","Crítico")))</f>
        <v>Competitivo</v>
      </c>
    </row>
    <row r="10" customFormat="false" ht="15" hidden="false" customHeight="false" outlineLevel="0" collapsed="false">
      <c r="B10" s="23" t="s">
        <v>89</v>
      </c>
      <c r="C10" s="13" t="n">
        <v>48</v>
      </c>
      <c r="D10" s="14" t="n">
        <v>247.44</v>
      </c>
      <c r="E10" s="14" t="n">
        <v>181.7</v>
      </c>
      <c r="F10" s="14" t="n">
        <v>247.68</v>
      </c>
      <c r="G10" s="15" t="n">
        <f aca="false">F10/D10-1</f>
        <v>0.000969932104752713</v>
      </c>
      <c r="H10" s="16" t="n">
        <v>0.708333333333333</v>
      </c>
      <c r="I10" s="32" t="n">
        <f aca="false">MAX(0,1-D10/F10)</f>
        <v>0.000968992248062017</v>
      </c>
      <c r="J10" s="17" t="str">
        <f aca="false">IF(G10&lt;=0,"Competitivo",IF(G10&lt;=0.1,"Ajuste fino",IF(G10&lt;=0.2,"Precisa melhorar","Crítico")))</f>
        <v>Ajuste fino</v>
      </c>
    </row>
    <row r="11" customFormat="false" ht="15" hidden="false" customHeight="false" outlineLevel="0" collapsed="false">
      <c r="B11" s="23" t="s">
        <v>90</v>
      </c>
      <c r="C11" s="13" t="n">
        <v>39</v>
      </c>
      <c r="D11" s="14" t="n">
        <v>280.68</v>
      </c>
      <c r="E11" s="14" t="n">
        <v>209.63</v>
      </c>
      <c r="F11" s="14" t="n">
        <v>265.95</v>
      </c>
      <c r="G11" s="15" t="n">
        <f aca="false">F11/D11-1</f>
        <v>-0.0524796921761437</v>
      </c>
      <c r="H11" s="16" t="n">
        <v>0.794871794871795</v>
      </c>
      <c r="I11" s="32" t="n">
        <f aca="false">MAX(0,1-D11/F11)</f>
        <v>0</v>
      </c>
      <c r="J11" s="17" t="str">
        <f aca="false">IF(G11&lt;=0,"Competitivo",IF(G11&lt;=0.1,"Ajuste fino",IF(G11&lt;=0.2,"Precisa melhorar","Crítico")))</f>
        <v>Competitivo</v>
      </c>
    </row>
    <row r="12" customFormat="false" ht="15" hidden="false" customHeight="false" outlineLevel="0" collapsed="false">
      <c r="B12" s="23" t="s">
        <v>91</v>
      </c>
      <c r="C12" s="13" t="n">
        <v>11</v>
      </c>
      <c r="D12" s="14" t="n">
        <v>362.42</v>
      </c>
      <c r="E12" s="14" t="n">
        <v>299.86</v>
      </c>
      <c r="F12" s="14" t="n">
        <v>407.25</v>
      </c>
      <c r="G12" s="15" t="n">
        <f aca="false">F12/D12-1</f>
        <v>0.12369626400309</v>
      </c>
      <c r="H12" s="16" t="n">
        <v>0</v>
      </c>
      <c r="I12" s="32" t="n">
        <f aca="false">MAX(0,1-D12/F12)</f>
        <v>0.110079803560467</v>
      </c>
      <c r="J12" s="17" t="str">
        <f aca="false">IF(G12&lt;=0,"Competitivo",IF(G12&lt;=0.1,"Ajuste fino",IF(G12&lt;=0.2,"Precisa melhorar","Crítico")))</f>
        <v>Precisa melhorar</v>
      </c>
    </row>
    <row r="14" customFormat="false" ht="15" hidden="false" customHeight="false" outlineLevel="0" collapsed="false">
      <c r="B14" s="45" t="s">
        <v>72</v>
      </c>
    </row>
    <row r="15" customFormat="false" ht="15" hidden="false" customHeight="false" outlineLevel="0" collapsed="false">
      <c r="B15" s="46" t="s">
        <v>73</v>
      </c>
    </row>
    <row r="16" customFormat="false" ht="15" hidden="false" customHeight="false" outlineLevel="0" collapsed="false">
      <c r="B16" s="47" t="s">
        <v>74</v>
      </c>
    </row>
    <row r="17" customFormat="false" ht="15" hidden="false" customHeight="false" outlineLevel="0" collapsed="false">
      <c r="B17" s="48" t="s">
        <v>75</v>
      </c>
    </row>
    <row r="18" customFormat="false" ht="15" hidden="false" customHeight="false" outlineLevel="0" collapsed="false">
      <c r="B18" s="49" t="s">
        <v>76</v>
      </c>
    </row>
    <row r="37" customFormat="false" ht="15" hidden="false" customHeight="false" outlineLevel="0" collapsed="false">
      <c r="B37" s="9" t="s">
        <v>92</v>
      </c>
      <c r="C37" s="10"/>
      <c r="D37" s="10"/>
      <c r="E37" s="10"/>
      <c r="F37" s="10"/>
      <c r="G37" s="10"/>
      <c r="H37" s="10"/>
      <c r="I37" s="10"/>
      <c r="J37" s="10"/>
    </row>
    <row r="38" customFormat="false" ht="31.5" hidden="false" customHeight="true" outlineLevel="0" collapsed="false">
      <c r="B38" s="11" t="s">
        <v>46</v>
      </c>
      <c r="C38" s="11" t="s">
        <v>84</v>
      </c>
      <c r="D38" s="11" t="s">
        <v>85</v>
      </c>
      <c r="E38" s="11" t="s">
        <v>86</v>
      </c>
      <c r="F38" s="11" t="s">
        <v>87</v>
      </c>
      <c r="G38" s="11" t="s">
        <v>88</v>
      </c>
      <c r="H38" s="11" t="s">
        <v>89</v>
      </c>
      <c r="I38" s="11" t="s">
        <v>90</v>
      </c>
      <c r="J38" s="11" t="s">
        <v>91</v>
      </c>
    </row>
    <row r="39" customFormat="false" ht="15" hidden="false" customHeight="false" outlineLevel="0" collapsed="false">
      <c r="B39" s="12" t="s">
        <v>50</v>
      </c>
      <c r="C39" s="24" t="n">
        <v>0.4232</v>
      </c>
      <c r="D39" s="24" t="n">
        <v>-0.1332</v>
      </c>
      <c r="E39" s="24" t="n">
        <v>-0.1876</v>
      </c>
      <c r="F39" s="24" t="n">
        <v>-0.1931</v>
      </c>
      <c r="G39" s="24" t="n">
        <v>-0.1975</v>
      </c>
      <c r="H39" s="24" t="n">
        <v>-0.0194</v>
      </c>
      <c r="I39" s="24" t="n">
        <v>-0.0658</v>
      </c>
      <c r="J39" s="50" t="s">
        <v>93</v>
      </c>
    </row>
    <row r="40" customFormat="false" ht="15" hidden="false" customHeight="false" outlineLevel="0" collapsed="false">
      <c r="B40" s="12" t="s">
        <v>52</v>
      </c>
      <c r="C40" s="24" t="n">
        <v>0.3878</v>
      </c>
      <c r="D40" s="24" t="n">
        <v>-0.1454</v>
      </c>
      <c r="E40" s="24" t="n">
        <v>-0.1707</v>
      </c>
      <c r="F40" s="24" t="n">
        <v>-0.1863</v>
      </c>
      <c r="G40" s="24" t="n">
        <v>-0.246</v>
      </c>
      <c r="H40" s="24" t="n">
        <v>0.007</v>
      </c>
      <c r="I40" s="24" t="n">
        <v>-0.0535</v>
      </c>
      <c r="J40" s="50" t="s">
        <v>93</v>
      </c>
    </row>
    <row r="41" customFormat="false" ht="15" hidden="false" customHeight="false" outlineLevel="0" collapsed="false">
      <c r="B41" s="12" t="s">
        <v>53</v>
      </c>
      <c r="C41" s="24" t="n">
        <v>0.129</v>
      </c>
      <c r="D41" s="24" t="n">
        <v>-0.095</v>
      </c>
      <c r="E41" s="24" t="n">
        <v>-0.1124</v>
      </c>
      <c r="F41" s="24" t="n">
        <v>-0.0986</v>
      </c>
      <c r="G41" s="24" t="n">
        <v>-0.1734</v>
      </c>
      <c r="H41" s="24" t="n">
        <v>-0.0247</v>
      </c>
      <c r="I41" s="50" t="s">
        <v>93</v>
      </c>
      <c r="J41" s="50" t="s">
        <v>93</v>
      </c>
    </row>
    <row r="42" customFormat="false" ht="15" hidden="false" customHeight="false" outlineLevel="0" collapsed="false">
      <c r="B42" s="12" t="s">
        <v>54</v>
      </c>
      <c r="C42" s="24" t="n">
        <v>-0.081</v>
      </c>
      <c r="D42" s="24" t="n">
        <v>-0.1713</v>
      </c>
      <c r="E42" s="24" t="n">
        <v>-0.1925</v>
      </c>
      <c r="F42" s="24" t="n">
        <v>-0.2493</v>
      </c>
      <c r="G42" s="24" t="n">
        <v>-0.1907</v>
      </c>
      <c r="H42" s="24" t="n">
        <v>0.0493</v>
      </c>
      <c r="I42" s="24" t="n">
        <v>-0.066</v>
      </c>
      <c r="J42" s="50" t="s">
        <v>93</v>
      </c>
    </row>
    <row r="43" customFormat="false" ht="15" hidden="false" customHeight="false" outlineLevel="0" collapsed="false">
      <c r="B43" s="12" t="s">
        <v>55</v>
      </c>
      <c r="C43" s="24" t="n">
        <v>1.3533</v>
      </c>
      <c r="D43" s="24" t="n">
        <v>0.3008</v>
      </c>
      <c r="E43" s="24" t="n">
        <v>0.0038</v>
      </c>
      <c r="F43" s="24" t="n">
        <v>0.0177</v>
      </c>
      <c r="G43" s="24" t="n">
        <v>-0.0151</v>
      </c>
      <c r="H43" s="50" t="s">
        <v>93</v>
      </c>
      <c r="I43" s="50" t="s">
        <v>93</v>
      </c>
      <c r="J43" s="50" t="s">
        <v>93</v>
      </c>
    </row>
    <row r="44" customFormat="false" ht="15" hidden="false" customHeight="false" outlineLevel="0" collapsed="false">
      <c r="B44" s="12" t="s">
        <v>56</v>
      </c>
      <c r="C44" s="24" t="n">
        <v>1.4968</v>
      </c>
      <c r="D44" s="24" t="n">
        <v>0.2315</v>
      </c>
      <c r="E44" s="24" t="n">
        <v>0.0275</v>
      </c>
      <c r="F44" s="24" t="n">
        <v>-0.1165</v>
      </c>
      <c r="G44" s="50" t="s">
        <v>93</v>
      </c>
      <c r="H44" s="50" t="s">
        <v>93</v>
      </c>
      <c r="I44" s="50" t="s">
        <v>93</v>
      </c>
      <c r="J44" s="50" t="s">
        <v>93</v>
      </c>
    </row>
    <row r="45" customFormat="false" ht="15" hidden="false" customHeight="false" outlineLevel="0" collapsed="false">
      <c r="B45" s="12" t="s">
        <v>57</v>
      </c>
      <c r="C45" s="24" t="n">
        <v>0.5783</v>
      </c>
      <c r="D45" s="24" t="n">
        <v>0.3848</v>
      </c>
      <c r="E45" s="24" t="n">
        <v>0.0218</v>
      </c>
      <c r="F45" s="24" t="n">
        <v>-0.1215</v>
      </c>
      <c r="G45" s="50" t="s">
        <v>93</v>
      </c>
      <c r="H45" s="50" t="s">
        <v>93</v>
      </c>
      <c r="I45" s="24" t="n">
        <v>-0.1026</v>
      </c>
      <c r="J45" s="50" t="s">
        <v>93</v>
      </c>
    </row>
    <row r="46" customFormat="false" ht="15" hidden="false" customHeight="false" outlineLevel="0" collapsed="false">
      <c r="B46" s="12" t="s">
        <v>58</v>
      </c>
      <c r="C46" s="24" t="n">
        <v>0.7352</v>
      </c>
      <c r="D46" s="24" t="n">
        <v>0.2434</v>
      </c>
      <c r="E46" s="24" t="n">
        <v>0.0206</v>
      </c>
      <c r="F46" s="24" t="n">
        <v>-0.0507</v>
      </c>
      <c r="G46" s="50" t="s">
        <v>93</v>
      </c>
      <c r="H46" s="50" t="s">
        <v>93</v>
      </c>
      <c r="I46" s="50" t="s">
        <v>93</v>
      </c>
      <c r="J46" s="50" t="s">
        <v>93</v>
      </c>
    </row>
    <row r="47" customFormat="false" ht="15" hidden="false" customHeight="false" outlineLevel="0" collapsed="false">
      <c r="B47" s="12" t="s">
        <v>59</v>
      </c>
      <c r="C47" s="24" t="n">
        <v>0.3656</v>
      </c>
      <c r="D47" s="24" t="n">
        <v>0.2435</v>
      </c>
      <c r="E47" s="24" t="n">
        <v>0.0603</v>
      </c>
      <c r="F47" s="50" t="s">
        <v>93</v>
      </c>
      <c r="G47" s="24" t="n">
        <v>0.0369</v>
      </c>
      <c r="H47" s="50" t="s">
        <v>93</v>
      </c>
      <c r="I47" s="50" t="s">
        <v>93</v>
      </c>
      <c r="J47" s="50" t="s">
        <v>93</v>
      </c>
    </row>
    <row r="48" customFormat="false" ht="15" hidden="false" customHeight="false" outlineLevel="0" collapsed="false">
      <c r="B48" s="12" t="s">
        <v>60</v>
      </c>
      <c r="C48" s="24" t="n">
        <v>-0.1418</v>
      </c>
      <c r="D48" s="24" t="n">
        <v>-0.1463</v>
      </c>
      <c r="E48" s="24" t="n">
        <v>-0.2122</v>
      </c>
      <c r="F48" s="50" t="s">
        <v>93</v>
      </c>
      <c r="G48" s="50" t="s">
        <v>93</v>
      </c>
      <c r="H48" s="50" t="s">
        <v>93</v>
      </c>
      <c r="I48" s="50" t="s">
        <v>93</v>
      </c>
      <c r="J48" s="50" t="s">
        <v>93</v>
      </c>
    </row>
    <row r="49" customFormat="false" ht="15" hidden="false" customHeight="false" outlineLevel="0" collapsed="false">
      <c r="B49" s="12" t="s">
        <v>61</v>
      </c>
      <c r="C49" s="24" t="n">
        <v>0.4648</v>
      </c>
      <c r="D49" s="24" t="n">
        <v>0.2038</v>
      </c>
      <c r="E49" s="24" t="n">
        <v>0.0173</v>
      </c>
      <c r="F49" s="24" t="n">
        <v>-0.0917</v>
      </c>
      <c r="G49" s="50" t="s">
        <v>93</v>
      </c>
      <c r="H49" s="50" t="s">
        <v>93</v>
      </c>
      <c r="I49" s="50" t="s">
        <v>93</v>
      </c>
      <c r="J49" s="50" t="s">
        <v>93</v>
      </c>
    </row>
    <row r="50" customFormat="false" ht="15" hidden="false" customHeight="false" outlineLevel="0" collapsed="false">
      <c r="B50" s="12" t="s">
        <v>62</v>
      </c>
      <c r="C50" s="50" t="s">
        <v>93</v>
      </c>
      <c r="D50" s="24" t="n">
        <v>0.181</v>
      </c>
      <c r="E50" s="24" t="n">
        <v>0.0784</v>
      </c>
      <c r="F50" s="24" t="n">
        <v>-0.141</v>
      </c>
      <c r="G50" s="50" t="s">
        <v>93</v>
      </c>
      <c r="H50" s="50" t="s">
        <v>93</v>
      </c>
      <c r="I50" s="50" t="s">
        <v>93</v>
      </c>
      <c r="J50" s="50" t="s">
        <v>93</v>
      </c>
    </row>
    <row r="51" customFormat="false" ht="15" hidden="false" customHeight="false" outlineLevel="0" collapsed="false">
      <c r="B51" s="12" t="s">
        <v>63</v>
      </c>
      <c r="C51" s="50" t="s">
        <v>93</v>
      </c>
      <c r="D51" s="24" t="n">
        <v>0.1552</v>
      </c>
      <c r="E51" s="24" t="n">
        <v>0.0978</v>
      </c>
      <c r="F51" s="50" t="s">
        <v>93</v>
      </c>
      <c r="G51" s="50" t="s">
        <v>93</v>
      </c>
      <c r="H51" s="50" t="s">
        <v>93</v>
      </c>
      <c r="I51" s="50" t="s">
        <v>93</v>
      </c>
      <c r="J51" s="50" t="s">
        <v>93</v>
      </c>
    </row>
    <row r="52" customFormat="false" ht="15" hidden="false" customHeight="false" outlineLevel="0" collapsed="false">
      <c r="B52" s="12" t="s">
        <v>64</v>
      </c>
      <c r="C52" s="50" t="s">
        <v>93</v>
      </c>
      <c r="D52" s="50" t="s">
        <v>93</v>
      </c>
      <c r="E52" s="24" t="n">
        <v>0.0095</v>
      </c>
      <c r="F52" s="50" t="s">
        <v>93</v>
      </c>
      <c r="G52" s="50" t="s">
        <v>93</v>
      </c>
      <c r="H52" s="50" t="s">
        <v>93</v>
      </c>
      <c r="I52" s="50" t="s">
        <v>93</v>
      </c>
      <c r="J52" s="50" t="s">
        <v>93</v>
      </c>
    </row>
    <row r="53" customFormat="false" ht="15" hidden="false" customHeight="false" outlineLevel="0" collapsed="false">
      <c r="B53" s="12" t="s">
        <v>65</v>
      </c>
      <c r="C53" s="24" t="n">
        <v>0.3992</v>
      </c>
      <c r="D53" s="24" t="n">
        <v>0.1865</v>
      </c>
      <c r="E53" s="50" t="s">
        <v>93</v>
      </c>
      <c r="F53" s="50" t="s">
        <v>93</v>
      </c>
      <c r="G53" s="50" t="s">
        <v>93</v>
      </c>
      <c r="H53" s="50" t="s">
        <v>93</v>
      </c>
      <c r="I53" s="50" t="s">
        <v>93</v>
      </c>
      <c r="J53" s="50" t="s">
        <v>93</v>
      </c>
    </row>
    <row r="54" customFormat="false" ht="15" hidden="false" customHeight="false" outlineLevel="0" collapsed="false">
      <c r="B54" s="12" t="s">
        <v>66</v>
      </c>
      <c r="C54" s="50" t="s">
        <v>93</v>
      </c>
      <c r="D54" s="50" t="s">
        <v>93</v>
      </c>
      <c r="E54" s="24" t="n">
        <v>0.0066</v>
      </c>
      <c r="F54" s="50" t="s">
        <v>93</v>
      </c>
      <c r="G54" s="50" t="s">
        <v>93</v>
      </c>
      <c r="H54" s="50" t="s">
        <v>93</v>
      </c>
      <c r="I54" s="50" t="s">
        <v>93</v>
      </c>
      <c r="J54" s="50" t="s">
        <v>93</v>
      </c>
    </row>
    <row r="55" customFormat="false" ht="15" hidden="false" customHeight="false" outlineLevel="0" collapsed="false">
      <c r="B55" s="12" t="s">
        <v>67</v>
      </c>
      <c r="C55" s="50" t="s">
        <v>93</v>
      </c>
      <c r="D55" s="24" t="n">
        <v>0.1564</v>
      </c>
      <c r="E55" s="50" t="s">
        <v>93</v>
      </c>
      <c r="F55" s="50" t="s">
        <v>93</v>
      </c>
      <c r="G55" s="50" t="s">
        <v>93</v>
      </c>
      <c r="H55" s="50" t="s">
        <v>93</v>
      </c>
      <c r="I55" s="50" t="s">
        <v>93</v>
      </c>
      <c r="J55" s="50" t="s">
        <v>93</v>
      </c>
    </row>
    <row r="56" customFormat="false" ht="15" hidden="false" customHeight="false" outlineLevel="0" collapsed="false">
      <c r="B56" s="12" t="s">
        <v>68</v>
      </c>
      <c r="C56" s="50" t="s">
        <v>93</v>
      </c>
      <c r="D56" s="24" t="n">
        <v>0.0898</v>
      </c>
      <c r="E56" s="24" t="n">
        <v>-0.0498</v>
      </c>
      <c r="F56" s="50" t="s">
        <v>93</v>
      </c>
      <c r="G56" s="50" t="s">
        <v>93</v>
      </c>
      <c r="H56" s="50" t="s">
        <v>93</v>
      </c>
      <c r="I56" s="50" t="s">
        <v>93</v>
      </c>
      <c r="J56" s="50" t="s">
        <v>93</v>
      </c>
    </row>
    <row r="57" customFormat="false" ht="15" hidden="false" customHeight="false" outlineLevel="0" collapsed="false">
      <c r="B57" s="12" t="s">
        <v>69</v>
      </c>
      <c r="C57" s="50" t="s">
        <v>93</v>
      </c>
      <c r="D57" s="24" t="n">
        <v>0.157</v>
      </c>
      <c r="E57" s="24" t="n">
        <v>-0.0114</v>
      </c>
      <c r="F57" s="50" t="s">
        <v>93</v>
      </c>
      <c r="G57" s="50" t="s">
        <v>93</v>
      </c>
      <c r="H57" s="50" t="s">
        <v>93</v>
      </c>
      <c r="I57" s="50" t="s">
        <v>93</v>
      </c>
      <c r="J57" s="50" t="s">
        <v>93</v>
      </c>
    </row>
    <row r="58" customFormat="false" ht="15" hidden="false" customHeight="false" outlineLevel="0" collapsed="false">
      <c r="B58" s="12" t="s">
        <v>70</v>
      </c>
      <c r="C58" s="50" t="s">
        <v>93</v>
      </c>
      <c r="D58" s="50" t="s">
        <v>93</v>
      </c>
      <c r="E58" s="50" t="s">
        <v>93</v>
      </c>
      <c r="F58" s="50" t="s">
        <v>93</v>
      </c>
      <c r="G58" s="50" t="s">
        <v>93</v>
      </c>
      <c r="H58" s="50" t="s">
        <v>93</v>
      </c>
      <c r="I58" s="50" t="s">
        <v>93</v>
      </c>
      <c r="J58" s="50" t="s">
        <v>93</v>
      </c>
    </row>
    <row r="59" customFormat="false" ht="15" hidden="false" customHeight="false" outlineLevel="0" collapsed="false">
      <c r="B59" s="51" t="s">
        <v>94</v>
      </c>
    </row>
  </sheetData>
  <mergeCells count="2">
    <mergeCell ref="B1:J1"/>
    <mergeCell ref="B2:J2"/>
  </mergeCells>
  <conditionalFormatting sqref="G5:G12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0.1</formula>
    </cfRule>
  </conditionalFormatting>
  <conditionalFormatting sqref="J5:J12">
    <cfRule type="cellIs" priority="4" operator="equal" aboveAverage="0" equalAverage="0" bottom="0" percent="0" rank="0" text="" dxfId="2">
      <formula>"Competitivo"</formula>
    </cfRule>
    <cfRule type="cellIs" priority="5" operator="equal" aboveAverage="0" equalAverage="0" bottom="0" percent="0" rank="0" text="" dxfId="3">
      <formula>"Ajuste fino"</formula>
    </cfRule>
    <cfRule type="cellIs" priority="6" operator="equal" aboveAverage="0" equalAverage="0" bottom="0" percent="0" rank="0" text="" dxfId="4">
      <formula>"Precisa melhorar"</formula>
    </cfRule>
    <cfRule type="cellIs" priority="7" operator="equal" aboveAverage="0" equalAverage="0" bottom="0" percent="0" rank="0" text="" dxfId="5">
      <formula>"Crítico"</formula>
    </cfRule>
  </conditionalFormatting>
  <conditionalFormatting sqref="I5:I12">
    <cfRule type="colorScale" priority="8">
      <colorScale>
        <cfvo type="num" val="0"/>
        <cfvo type="max" val="0"/>
        <color rgb="FFFFFFFF"/>
        <color rgb="FFF8696B"/>
      </colorScale>
    </cfRule>
  </conditionalFormatting>
  <conditionalFormatting sqref="C39:J58">
    <cfRule type="colorScale" priority="9">
      <colorScale>
        <cfvo type="num" val="-0.15"/>
        <cfvo type="num" val="0"/>
        <cfvo type="num" val="0.5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1" customFormat="false" ht="36" hidden="false" customHeight="true" outlineLevel="0" collapsed="false">
      <c r="B1" s="52" t="s">
        <v>95</v>
      </c>
    </row>
    <row r="2" customFormat="false" ht="15" hidden="false" customHeight="false" outlineLevel="0" collapsed="false">
      <c r="B2" s="53" t="s">
        <v>96</v>
      </c>
    </row>
    <row r="4" customFormat="false" ht="15" hidden="false" customHeight="false" outlineLevel="0" collapsed="false">
      <c r="B4" s="54" t="s">
        <v>97</v>
      </c>
    </row>
    <row r="5" customFormat="false" ht="15" hidden="false" customHeight="false" outlineLevel="0" collapsed="false">
      <c r="B5" s="55" t="s">
        <v>98</v>
      </c>
    </row>
    <row r="6" customFormat="false" ht="15" hidden="false" customHeight="false" outlineLevel="0" collapsed="false">
      <c r="B6" s="54" t="s">
        <v>99</v>
      </c>
    </row>
    <row r="7" customFormat="false" ht="15" hidden="false" customHeight="false" outlineLevel="0" collapsed="false">
      <c r="B7" s="55" t="s">
        <v>100</v>
      </c>
    </row>
    <row r="8" customFormat="false" ht="15" hidden="false" customHeight="false" outlineLevel="0" collapsed="false">
      <c r="B8" s="54" t="s">
        <v>48</v>
      </c>
    </row>
    <row r="9" customFormat="false" ht="15" hidden="false" customHeight="false" outlineLevel="0" collapsed="false">
      <c r="B9" s="55" t="s">
        <v>101</v>
      </c>
    </row>
    <row r="10" customFormat="false" ht="15" hidden="false" customHeight="false" outlineLevel="0" collapsed="false">
      <c r="B10" s="55" t="s">
        <v>102</v>
      </c>
    </row>
    <row r="11" customFormat="false" ht="23.85" hidden="false" customHeight="false" outlineLevel="0" collapsed="false">
      <c r="B11" s="55" t="s">
        <v>103</v>
      </c>
    </row>
    <row r="12" customFormat="false" ht="15" hidden="false" customHeight="false" outlineLevel="0" collapsed="false">
      <c r="B12" s="55" t="s">
        <v>104</v>
      </c>
    </row>
    <row r="13" customFormat="false" ht="15" hidden="false" customHeight="false" outlineLevel="0" collapsed="false">
      <c r="B13" s="54" t="s">
        <v>105</v>
      </c>
    </row>
    <row r="14" customFormat="false" ht="15" hidden="false" customHeight="false" outlineLevel="0" collapsed="false">
      <c r="B14" s="55" t="s">
        <v>106</v>
      </c>
    </row>
    <row r="15" customFormat="false" ht="15" hidden="false" customHeight="false" outlineLevel="0" collapsed="false">
      <c r="B15" s="54" t="s">
        <v>107</v>
      </c>
    </row>
    <row r="16" customFormat="false" ht="15" hidden="false" customHeight="false" outlineLevel="0" collapsed="false">
      <c r="B16" s="55" t="s">
        <v>108</v>
      </c>
    </row>
    <row r="17" customFormat="false" ht="15" hidden="false" customHeight="false" outlineLevel="0" collapsed="false">
      <c r="B17" s="54" t="s">
        <v>109</v>
      </c>
    </row>
    <row r="18" customFormat="false" ht="15" hidden="false" customHeight="false" outlineLevel="0" collapsed="false">
      <c r="B18" s="55" t="s">
        <v>110</v>
      </c>
    </row>
    <row r="19" customFormat="false" ht="15" hidden="false" customHeight="false" outlineLevel="0" collapsed="false">
      <c r="B19" s="54" t="s">
        <v>111</v>
      </c>
    </row>
    <row r="20" customFormat="false" ht="15" hidden="false" customHeight="false" outlineLevel="0" collapsed="false">
      <c r="B20" s="5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2026-10-28T12:31:45Z</dcterms:created>
  <dc:creator>openpyxl</dc:creator>
  <dc:description/>
  <dc:language>en-US</dc:language>
  <cp:lastModifiedBy/>
  <dcterms:modified xsi:type="dcterms:W3CDTF">2026-10-28T12:31:48Z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