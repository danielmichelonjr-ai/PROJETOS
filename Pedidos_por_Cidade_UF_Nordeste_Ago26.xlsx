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 por Cidade e UF" sheetId="1" state="visible" r:id="rId3"/>
  </sheets>
  <definedNames>
    <definedName function="false" hidden="true" localSheetId="0" name="_xlnm._FilterDatabase" vbProcedure="false">'Pedidos por Cidade e UF'!$I$5:$M$728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<sst xmlns="http://schemas.openxmlformats.org/spreadsheetml/2006/main" count="1664" uniqueCount="744">
  <si>
    <t xml:space="preserve">Pedidos por estado e cidade – Nordeste, agosto/2026</t>
  </si>
  <si>
    <t xml:space="preserve">Fonte: arquivo PEDIDOS NORDESTE AGOSTO (2933 CT-es). Pedido = NF distinta (chave NFe): 2909 pedidos. 24 CT-es repetem a mesma NF e não contam de novo. UF e cidade de entrega = colunas Q e R.</t>
  </si>
  <si>
    <t xml:space="preserve">Resumo por estado</t>
  </si>
  <si>
    <t xml:space="preserve">Lista completa – todas as cidades</t>
  </si>
  <si>
    <t xml:space="preserve">UF</t>
  </si>
  <si>
    <t xml:space="preserve">Pedidos</t>
  </si>
  <si>
    <t xml:space="preserve">% do total</t>
  </si>
  <si>
    <t xml:space="preserve">Cidades atendidas</t>
  </si>
  <si>
    <t xml:space="preserve">Pedidos nas Top 10</t>
  </si>
  <si>
    <t xml:space="preserve">% nas Top 10</t>
  </si>
  <si>
    <t xml:space="preserve">Cidade</t>
  </si>
  <si>
    <t xml:space="preserve">Rank na UF</t>
  </si>
  <si>
    <t xml:space="preserve">% da UF</t>
  </si>
  <si>
    <t xml:space="preserve">BA</t>
  </si>
  <si>
    <t xml:space="preserve">AL</t>
  </si>
  <si>
    <t xml:space="preserve">MACEIO</t>
  </si>
  <si>
    <t xml:space="preserve">PE</t>
  </si>
  <si>
    <t xml:space="preserve">ARAPIRACA</t>
  </si>
  <si>
    <t xml:space="preserve">CE</t>
  </si>
  <si>
    <t xml:space="preserve">MARECHAL DEODORO</t>
  </si>
  <si>
    <t xml:space="preserve">MA</t>
  </si>
  <si>
    <t xml:space="preserve">RIO LARGO</t>
  </si>
  <si>
    <t xml:space="preserve">MARAGOGI</t>
  </si>
  <si>
    <t xml:space="preserve">PI</t>
  </si>
  <si>
    <t xml:space="preserve">DELMIRO GOUVEIA</t>
  </si>
  <si>
    <t xml:space="preserve">PB</t>
  </si>
  <si>
    <t xml:space="preserve">PIRANHAS</t>
  </si>
  <si>
    <t xml:space="preserve">SE</t>
  </si>
  <si>
    <t xml:space="preserve">PORTO CALVO</t>
  </si>
  <si>
    <t xml:space="preserve">RN</t>
  </si>
  <si>
    <t xml:space="preserve">SANTANA DO IPANEMA</t>
  </si>
  <si>
    <t xml:space="preserve">TOTAL</t>
  </si>
  <si>
    <t xml:space="preserve">SAO LUIS DO QUITUNDE</t>
  </si>
  <si>
    <t xml:space="preserve">SAO MIGUEL DOS MILAGRES</t>
  </si>
  <si>
    <t xml:space="preserve">BARRA DE SANTO ANTONIO</t>
  </si>
  <si>
    <t xml:space="preserve">Top 10 cidades por estado (ordenado por UF com mais pedidos)</t>
  </si>
  <si>
    <t xml:space="preserve">BRANQUINHA</t>
  </si>
  <si>
    <t xml:space="preserve">Rank</t>
  </si>
  <si>
    <t xml:space="preserve">% acumulado na UF</t>
  </si>
  <si>
    <t xml:space="preserve">Obs.</t>
  </si>
  <si>
    <t xml:space="preserve">CAJUEIRO</t>
  </si>
  <si>
    <t xml:space="preserve">SALVADOR</t>
  </si>
  <si>
    <t xml:space="preserve">CARNEIROS</t>
  </si>
  <si>
    <t xml:space="preserve">FEIRA DE SANTANA</t>
  </si>
  <si>
    <t xml:space="preserve">OLHO D'AGUA DAS FLORES</t>
  </si>
  <si>
    <t xml:space="preserve">CAMACARI</t>
  </si>
  <si>
    <t xml:space="preserve">PALMEIRA DOS INDIOS</t>
  </si>
  <si>
    <t xml:space="preserve">VITORIA DA CONQUISTA</t>
  </si>
  <si>
    <t xml:space="preserve">PORTO DE PEDRAS</t>
  </si>
  <si>
    <t xml:space="preserve">LAURO DE FREITAS</t>
  </si>
  <si>
    <t xml:space="preserve">PORTO REAL DO COLEGIO</t>
  </si>
  <si>
    <t xml:space="preserve">JUAZEIRO</t>
  </si>
  <si>
    <t xml:space="preserve">SAO JOSE DA TAPERA</t>
  </si>
  <si>
    <t xml:space="preserve">SIMOES FILHO</t>
  </si>
  <si>
    <t xml:space="preserve">SAO MIGUEL DOS CAMPOS</t>
  </si>
  <si>
    <t xml:space="preserve">ILHEUS</t>
  </si>
  <si>
    <t xml:space="preserve">SAO SEBASTIAO</t>
  </si>
  <si>
    <t xml:space="preserve">ITABUNA</t>
  </si>
  <si>
    <t xml:space="preserve">SATUBA</t>
  </si>
  <si>
    <t xml:space="preserve">BARREIRAS</t>
  </si>
  <si>
    <t xml:space="preserve">TEOTONIO VILELA</t>
  </si>
  <si>
    <t xml:space="preserve">RECIFE</t>
  </si>
  <si>
    <t xml:space="preserve">ANADIA</t>
  </si>
  <si>
    <t xml:space="preserve">JABOATAO DOS GUARARAPES</t>
  </si>
  <si>
    <t xml:space="preserve">ATALAIA</t>
  </si>
  <si>
    <t xml:space="preserve">PAULISTA</t>
  </si>
  <si>
    <t xml:space="preserve">BATALHA</t>
  </si>
  <si>
    <t xml:space="preserve">OLINDA</t>
  </si>
  <si>
    <t xml:space="preserve">CAMPESTRE</t>
  </si>
  <si>
    <t xml:space="preserve">PETROLINA</t>
  </si>
  <si>
    <t xml:space="preserve">CAMPO ALEGRE</t>
  </si>
  <si>
    <t xml:space="preserve">CARUARU</t>
  </si>
  <si>
    <t xml:space="preserve">CAPELA</t>
  </si>
  <si>
    <t xml:space="preserve">CABO DE SANTO AGOSTINHO</t>
  </si>
  <si>
    <t xml:space="preserve">CHA PRETA</t>
  </si>
  <si>
    <t xml:space="preserve">CAMARAGIBE</t>
  </si>
  <si>
    <t xml:space="preserve">COQUEIRO SECO</t>
  </si>
  <si>
    <t xml:space="preserve">GARANHUNS</t>
  </si>
  <si>
    <t xml:space="preserve">CORURIPE</t>
  </si>
  <si>
    <t xml:space="preserve">IGARASSU</t>
  </si>
  <si>
    <t xml:space="preserve">CRAIBAS</t>
  </si>
  <si>
    <t xml:space="preserve">FORTALEZA</t>
  </si>
  <si>
    <t xml:space="preserve">ESTRELA DE ALAGOAS</t>
  </si>
  <si>
    <t xml:space="preserve">JUAZEIRO DO NORTE</t>
  </si>
  <si>
    <t xml:space="preserve">FLEXEIRAS</t>
  </si>
  <si>
    <t xml:space="preserve">CAUCAIA</t>
  </si>
  <si>
    <t xml:space="preserve">GIRAU DO PONCIANO</t>
  </si>
  <si>
    <t xml:space="preserve">MARACANAU</t>
  </si>
  <si>
    <t xml:space="preserve">IBATEGUARA</t>
  </si>
  <si>
    <t xml:space="preserve">AQUIRAZ</t>
  </si>
  <si>
    <t xml:space="preserve">JARAMATAIA</t>
  </si>
  <si>
    <t xml:space="preserve">CRATO</t>
  </si>
  <si>
    <t xml:space="preserve">JOAQUIM GOMES</t>
  </si>
  <si>
    <t xml:space="preserve">ITAITINGA</t>
  </si>
  <si>
    <t xml:space="preserve">JUNQUEIRO</t>
  </si>
  <si>
    <t xml:space="preserve">SOBRAL</t>
  </si>
  <si>
    <t xml:space="preserve">LIMOEIRO DE ANADIA</t>
  </si>
  <si>
    <t xml:space="preserve">PACATUBA</t>
  </si>
  <si>
    <t xml:space="preserve">MARAVILHA</t>
  </si>
  <si>
    <t xml:space="preserve">BREJO SANTO</t>
  </si>
  <si>
    <t xml:space="preserve">MONTEIROPOLIS</t>
  </si>
  <si>
    <t xml:space="preserve">SAO LUIS</t>
  </si>
  <si>
    <t xml:space="preserve">MURICI</t>
  </si>
  <si>
    <t xml:space="preserve">IMPERATRIZ</t>
  </si>
  <si>
    <t xml:space="preserve">PARIPUEIRA</t>
  </si>
  <si>
    <t xml:space="preserve">SAO JOSE DE RIBAMAR</t>
  </si>
  <si>
    <t xml:space="preserve">PENEDO</t>
  </si>
  <si>
    <t xml:space="preserve">CAXIAS</t>
  </si>
  <si>
    <t xml:space="preserve">PIACABUCU</t>
  </si>
  <si>
    <t xml:space="preserve">PACO DO LUMIAR</t>
  </si>
  <si>
    <t xml:space="preserve">PILAR</t>
  </si>
  <si>
    <t xml:space="preserve">BACABAL</t>
  </si>
  <si>
    <t xml:space="preserve">ROTEIRO</t>
  </si>
  <si>
    <t xml:space="preserve">BARRA DO CORDA</t>
  </si>
  <si>
    <t xml:space="preserve">SAO JOSE DA LAJE</t>
  </si>
  <si>
    <t xml:space="preserve">BARREIRINHAS</t>
  </si>
  <si>
    <t xml:space="preserve">SENADOR RUI PALMEIRA</t>
  </si>
  <si>
    <t xml:space="preserve">LAGO DA PEDRA</t>
  </si>
  <si>
    <t xml:space="preserve">TAQUARANA</t>
  </si>
  <si>
    <t xml:space="preserve">MARACACUME</t>
  </si>
  <si>
    <t xml:space="preserve">UNIAO DOS PALMARES</t>
  </si>
  <si>
    <t xml:space="preserve">VICOSA</t>
  </si>
  <si>
    <t xml:space="preserve">Empate: outras 1 cidade(s) também com 3 pedido(s). Desempate por ordem alfabética.</t>
  </si>
  <si>
    <t xml:space="preserve">TERESINA</t>
  </si>
  <si>
    <t xml:space="preserve">PARNAIBA</t>
  </si>
  <si>
    <t xml:space="preserve">TEIXEIRA DE FREITAS</t>
  </si>
  <si>
    <t xml:space="preserve">PICOS</t>
  </si>
  <si>
    <t xml:space="preserve">ALAGOINHAS</t>
  </si>
  <si>
    <t xml:space="preserve">VALENCA DO PIAUI</t>
  </si>
  <si>
    <t xml:space="preserve">CATU</t>
  </si>
  <si>
    <t xml:space="preserve">BAIXA GRANDE DO RIBEIRO</t>
  </si>
  <si>
    <t xml:space="preserve">EUNAPOLIS</t>
  </si>
  <si>
    <t xml:space="preserve">BOM JESUS</t>
  </si>
  <si>
    <t xml:space="preserve">LUIS EDUARDO MAGALHAES</t>
  </si>
  <si>
    <t xml:space="preserve">CAMPO MAIOR</t>
  </si>
  <si>
    <t xml:space="preserve">PORTO SEGURO</t>
  </si>
  <si>
    <t xml:space="preserve">PEDRO II</t>
  </si>
  <si>
    <t xml:space="preserve">PAULO AFONSO</t>
  </si>
  <si>
    <t xml:space="preserve">PIRIPIRI</t>
  </si>
  <si>
    <t xml:space="preserve">CRUZ DAS ALMAS</t>
  </si>
  <si>
    <t xml:space="preserve">CORRENTE</t>
  </si>
  <si>
    <t xml:space="preserve">IRECE</t>
  </si>
  <si>
    <t xml:space="preserve">JOAO PESSOA</t>
  </si>
  <si>
    <t xml:space="preserve">JEQUIE</t>
  </si>
  <si>
    <t xml:space="preserve">CAMPINA GRANDE</t>
  </si>
  <si>
    <t xml:space="preserve">JEREMOABO</t>
  </si>
  <si>
    <t xml:space="preserve">PATOS</t>
  </si>
  <si>
    <t xml:space="preserve">MATA DE SAO JOAO</t>
  </si>
  <si>
    <t xml:space="preserve">BAYEUX</t>
  </si>
  <si>
    <t xml:space="preserve">POCOES</t>
  </si>
  <si>
    <t xml:space="preserve">CABEDELO</t>
  </si>
  <si>
    <t xml:space="preserve">VALENCA</t>
  </si>
  <si>
    <t xml:space="preserve">SANTA RITA</t>
  </si>
  <si>
    <t xml:space="preserve">BOM JESUS DA LAPA</t>
  </si>
  <si>
    <t xml:space="preserve">JACARAU</t>
  </si>
  <si>
    <t xml:space="preserve">CANDEIAS</t>
  </si>
  <si>
    <t xml:space="preserve">BELEM</t>
  </si>
  <si>
    <t xml:space="preserve">CASA NOVA</t>
  </si>
  <si>
    <t xml:space="preserve">CAJAZEIRAS</t>
  </si>
  <si>
    <t xml:space="preserve">JACOBINA</t>
  </si>
  <si>
    <t xml:space="preserve">CATOLE DO ROCHA</t>
  </si>
  <si>
    <t xml:space="preserve">Empate: outras 7 cidade(s) também com 2 pedido(s). Desempate por ordem alfabética.</t>
  </si>
  <si>
    <t xml:space="preserve">MONTE SANTO</t>
  </si>
  <si>
    <t xml:space="preserve">ARACAJU</t>
  </si>
  <si>
    <t xml:space="preserve">SANTO ANTONIO DE JESUS</t>
  </si>
  <si>
    <t xml:space="preserve">NOSSA SENHORA DO SOCORRO</t>
  </si>
  <si>
    <t xml:space="preserve">SAO FRANCISCO DO CONDE</t>
  </si>
  <si>
    <t xml:space="preserve">BARRA DOS COQUEIROS</t>
  </si>
  <si>
    <t xml:space="preserve">SAO SEBASTIAO DO PASSE</t>
  </si>
  <si>
    <t xml:space="preserve">ITABAIANA</t>
  </si>
  <si>
    <t xml:space="preserve">VERA CRUZ</t>
  </si>
  <si>
    <t xml:space="preserve">SIMAO DIAS</t>
  </si>
  <si>
    <t xml:space="preserve">BAIXA GRANDE</t>
  </si>
  <si>
    <t xml:space="preserve">SAO CRISTOVAO</t>
  </si>
  <si>
    <t xml:space="preserve">CAMPO FORMOSO</t>
  </si>
  <si>
    <t xml:space="preserve">NOSSA SENHORA DA GLORIA</t>
  </si>
  <si>
    <t xml:space="preserve">CANAVIEIRAS</t>
  </si>
  <si>
    <t xml:space="preserve">POCO VERDE</t>
  </si>
  <si>
    <t xml:space="preserve">COARACI</t>
  </si>
  <si>
    <t xml:space="preserve">UMBAUBA</t>
  </si>
  <si>
    <t xml:space="preserve">COCOS</t>
  </si>
  <si>
    <t xml:space="preserve">CANINDE DE SAO FRANCISCO</t>
  </si>
  <si>
    <t xml:space="preserve">Empate: outras 9 cidade(s) também com 2 pedido(s). Desempate por ordem alfabética.</t>
  </si>
  <si>
    <t xml:space="preserve">ENTRE RIOS</t>
  </si>
  <si>
    <t xml:space="preserve">NATAL</t>
  </si>
  <si>
    <t xml:space="preserve">ESPLANADA</t>
  </si>
  <si>
    <t xml:space="preserve">PARNAMIRIM</t>
  </si>
  <si>
    <t xml:space="preserve">GUANAMBI</t>
  </si>
  <si>
    <t xml:space="preserve">MOSSORO</t>
  </si>
  <si>
    <t xml:space="preserve">JAGUAQUARA</t>
  </si>
  <si>
    <t xml:space="preserve">EXTREMOZ</t>
  </si>
  <si>
    <t xml:space="preserve">JAGUARARI</t>
  </si>
  <si>
    <t xml:space="preserve">CEARA-MIRIM</t>
  </si>
  <si>
    <t xml:space="preserve">MACAUBAS</t>
  </si>
  <si>
    <t xml:space="preserve">SAO GONCALO DO AMARANTE</t>
  </si>
  <si>
    <t xml:space="preserve">MUCURI</t>
  </si>
  <si>
    <t xml:space="preserve">CAICO</t>
  </si>
  <si>
    <t xml:space="preserve">RIBEIRA DO POMBAL</t>
  </si>
  <si>
    <t xml:space="preserve">CURRAIS NOVOS</t>
  </si>
  <si>
    <t xml:space="preserve">SANTO AMARO</t>
  </si>
  <si>
    <t xml:space="preserve">SAO JOSE DE MIPIBU</t>
  </si>
  <si>
    <t xml:space="preserve">SANTO ESTEVAO</t>
  </si>
  <si>
    <t xml:space="preserve">ACU</t>
  </si>
  <si>
    <t xml:space="preserve">Empate: outras 25 cidade(s) também com 1 pedido(s). Desempate por ordem alfabética.</t>
  </si>
  <si>
    <t xml:space="preserve">SENHOR DO BONFIM</t>
  </si>
  <si>
    <t xml:space="preserve">TANHACU</t>
  </si>
  <si>
    <t xml:space="preserve">ANAGE</t>
  </si>
  <si>
    <t xml:space="preserve">BARRA DO CHOCA</t>
  </si>
  <si>
    <t xml:space="preserve">BELO CAMPO</t>
  </si>
  <si>
    <t xml:space="preserve">BOA VISTA DO TUPIM</t>
  </si>
  <si>
    <t xml:space="preserve">BONITO</t>
  </si>
  <si>
    <t xml:space="preserve">BROTAS DE MACAUBAS</t>
  </si>
  <si>
    <t xml:space="preserve">BURITIRAMA</t>
  </si>
  <si>
    <t xml:space="preserve">CACHOEIRA</t>
  </si>
  <si>
    <t xml:space="preserve">CAETANOS</t>
  </si>
  <si>
    <t xml:space="preserve">CAMAMU</t>
  </si>
  <si>
    <t xml:space="preserve">CANDIBA</t>
  </si>
  <si>
    <t xml:space="preserve">EUCLIDES DA CUNHA</t>
  </si>
  <si>
    <t xml:space="preserve">FILADELFIA</t>
  </si>
  <si>
    <t xml:space="preserve">GANDU</t>
  </si>
  <si>
    <t xml:space="preserve">IBIASSUCE</t>
  </si>
  <si>
    <t xml:space="preserve">IBICOARA</t>
  </si>
  <si>
    <t xml:space="preserve">IGUAI</t>
  </si>
  <si>
    <t xml:space="preserve">IPIAU</t>
  </si>
  <si>
    <t xml:space="preserve">IPIRA</t>
  </si>
  <si>
    <t xml:space="preserve">ITABERABA</t>
  </si>
  <si>
    <t xml:space="preserve">ITAMARAJU</t>
  </si>
  <si>
    <t xml:space="preserve">ITAMBE</t>
  </si>
  <si>
    <t xml:space="preserve">ITAPARICA</t>
  </si>
  <si>
    <t xml:space="preserve">ITAPETINGA</t>
  </si>
  <si>
    <t xml:space="preserve">ITAPICURU</t>
  </si>
  <si>
    <t xml:space="preserve">ITIUBA</t>
  </si>
  <si>
    <t xml:space="preserve">ITUBERA</t>
  </si>
  <si>
    <t xml:space="preserve">JIQUIRICA</t>
  </si>
  <si>
    <t xml:space="preserve">LAJEDAO</t>
  </si>
  <si>
    <t xml:space="preserve">MARACAS</t>
  </si>
  <si>
    <t xml:space="preserve">MATINA</t>
  </si>
  <si>
    <t xml:space="preserve">NAZARE</t>
  </si>
  <si>
    <t xml:space="preserve">NOVA VICOSA</t>
  </si>
  <si>
    <t xml:space="preserve">OLINDINA</t>
  </si>
  <si>
    <t xml:space="preserve">PIATA</t>
  </si>
  <si>
    <t xml:space="preserve">PIRITIBA</t>
  </si>
  <si>
    <t xml:space="preserve">PRESIDENTE DUTRA</t>
  </si>
  <si>
    <t xml:space="preserve">REMANSO</t>
  </si>
  <si>
    <t xml:space="preserve">SANTA RITA DE CASSIA</t>
  </si>
  <si>
    <t xml:space="preserve">SANTALUZ</t>
  </si>
  <si>
    <t xml:space="preserve">SAO DESIDERIO</t>
  </si>
  <si>
    <t xml:space="preserve">SEABRA</t>
  </si>
  <si>
    <t xml:space="preserve">SERRINHA</t>
  </si>
  <si>
    <t xml:space="preserve">TAPIRAMUTA</t>
  </si>
  <si>
    <t xml:space="preserve">TEOFILANDIA</t>
  </si>
  <si>
    <t xml:space="preserve">VARZEA DO POCO</t>
  </si>
  <si>
    <t xml:space="preserve">VARZEA NOVA</t>
  </si>
  <si>
    <t xml:space="preserve">WAGNER</t>
  </si>
  <si>
    <t xml:space="preserve">ABARE</t>
  </si>
  <si>
    <t xml:space="preserve">AGUA FRIA</t>
  </si>
  <si>
    <t xml:space="preserve">AMARGOSA</t>
  </si>
  <si>
    <t xml:space="preserve">ANTAS</t>
  </si>
  <si>
    <t xml:space="preserve">APUAREMA</t>
  </si>
  <si>
    <t xml:space="preserve">ARACI</t>
  </si>
  <si>
    <t xml:space="preserve">ARATUIPE</t>
  </si>
  <si>
    <t xml:space="preserve">AURELINO LEAL</t>
  </si>
  <si>
    <t xml:space="preserve">BARRA</t>
  </si>
  <si>
    <t xml:space="preserve">BARRA DA ESTIVA</t>
  </si>
  <si>
    <t xml:space="preserve">BOA NOVA</t>
  </si>
  <si>
    <t xml:space="preserve">BOQUIRA</t>
  </si>
  <si>
    <t xml:space="preserve">CACULE</t>
  </si>
  <si>
    <t xml:space="preserve">CAETITE</t>
  </si>
  <si>
    <t xml:space="preserve">CAIRU</t>
  </si>
  <si>
    <t xml:space="preserve">CAMACAN</t>
  </si>
  <si>
    <t xml:space="preserve">CANDEAL</t>
  </si>
  <si>
    <t xml:space="preserve">CAPIM GROSSO</t>
  </si>
  <si>
    <t xml:space="preserve">CASTRO ALVES</t>
  </si>
  <si>
    <t xml:space="preserve">CENTRAL</t>
  </si>
  <si>
    <t xml:space="preserve">CONCEICAO DO COITE</t>
  </si>
  <si>
    <t xml:space="preserve">CONCEICAO DO JACUIPE</t>
  </si>
  <si>
    <t xml:space="preserve">CORDEIROS</t>
  </si>
  <si>
    <t xml:space="preserve">CURACA</t>
  </si>
  <si>
    <t xml:space="preserve">DIAS D'AVILA</t>
  </si>
  <si>
    <t xml:space="preserve">ENCRUZILHADA</t>
  </si>
  <si>
    <t xml:space="preserve">FATIMA</t>
  </si>
  <si>
    <t xml:space="preserve">FEIRA DA MATA</t>
  </si>
  <si>
    <t xml:space="preserve">GENTIO DO OURO</t>
  </si>
  <si>
    <t xml:space="preserve">IBICARAI</t>
  </si>
  <si>
    <t xml:space="preserve">IBICUI</t>
  </si>
  <si>
    <t xml:space="preserve">IBIPITANGA</t>
  </si>
  <si>
    <t xml:space="preserve">IBIRATAIA</t>
  </si>
  <si>
    <t xml:space="preserve">IBITIARA</t>
  </si>
  <si>
    <t xml:space="preserve">IBOTIRAMA</t>
  </si>
  <si>
    <t xml:space="preserve">INHAMBUPE</t>
  </si>
  <si>
    <t xml:space="preserve">ITACARE</t>
  </si>
  <si>
    <t xml:space="preserve">ITAJU DO COLONIA</t>
  </si>
  <si>
    <t xml:space="preserve">ITANHEM</t>
  </si>
  <si>
    <t xml:space="preserve">ITAPE</t>
  </si>
  <si>
    <t xml:space="preserve">ITAPITANGA</t>
  </si>
  <si>
    <t xml:space="preserve">ITARANTIM</t>
  </si>
  <si>
    <t xml:space="preserve">ITORORO</t>
  </si>
  <si>
    <t xml:space="preserve">JABORANDI</t>
  </si>
  <si>
    <t xml:space="preserve">JAGUARIPE</t>
  </si>
  <si>
    <t xml:space="preserve">JOAO DOURADO</t>
  </si>
  <si>
    <t xml:space="preserve">JUCURUCU</t>
  </si>
  <si>
    <t xml:space="preserve">LAJEDO DO TABOCAL</t>
  </si>
  <si>
    <t xml:space="preserve">LENCOIS</t>
  </si>
  <si>
    <t xml:space="preserve">LIVRAMENTO DE NOSSA SENHORA</t>
  </si>
  <si>
    <t xml:space="preserve">MADRE DE DEUS</t>
  </si>
  <si>
    <t xml:space="preserve">MAIQUINIQUE</t>
  </si>
  <si>
    <t xml:space="preserve">MANSIDAO</t>
  </si>
  <si>
    <t xml:space="preserve">MARCIONILIO SOUZA</t>
  </si>
  <si>
    <t xml:space="preserve">MORPARA</t>
  </si>
  <si>
    <t xml:space="preserve">MORRO DO CHAPEU</t>
  </si>
  <si>
    <t xml:space="preserve">MUCUGE</t>
  </si>
  <si>
    <t xml:space="preserve">MULUNGU DO MORRO</t>
  </si>
  <si>
    <t xml:space="preserve">NORDESTINA</t>
  </si>
  <si>
    <t xml:space="preserve">NOVA REDENCAO</t>
  </si>
  <si>
    <t xml:space="preserve">OLIVEIRA DOS BREJINHOS</t>
  </si>
  <si>
    <t xml:space="preserve">OUROLANDIA</t>
  </si>
  <si>
    <t xml:space="preserve">PALMEIRAS</t>
  </si>
  <si>
    <t xml:space="preserve">PARATINGA</t>
  </si>
  <si>
    <t xml:space="preserve">PAU BRASIL</t>
  </si>
  <si>
    <t xml:space="preserve">PE DE SERRA</t>
  </si>
  <si>
    <t xml:space="preserve">PEDRAO</t>
  </si>
  <si>
    <t xml:space="preserve">PEDRO ALEXANDRE</t>
  </si>
  <si>
    <t xml:space="preserve">PILAO ARCADO</t>
  </si>
  <si>
    <t xml:space="preserve">PINDOBACU</t>
  </si>
  <si>
    <t xml:space="preserve">PINTADAS</t>
  </si>
  <si>
    <t xml:space="preserve">PLANALTO</t>
  </si>
  <si>
    <t xml:space="preserve">POTIRAGUA</t>
  </si>
  <si>
    <t xml:space="preserve">PRADO</t>
  </si>
  <si>
    <t xml:space="preserve">PRESIDENTE TANCREDO NEVES</t>
  </si>
  <si>
    <t xml:space="preserve">QUEIMADAS</t>
  </si>
  <si>
    <t xml:space="preserve">QUIJINGUE</t>
  </si>
  <si>
    <t xml:space="preserve">RIACHAO DO JACUIPE</t>
  </si>
  <si>
    <t xml:space="preserve">RIBEIRAO DO LARGO</t>
  </si>
  <si>
    <t xml:space="preserve">RUY BARBOSA</t>
  </si>
  <si>
    <t xml:space="preserve">SANTA CRUZ CABRALIA</t>
  </si>
  <si>
    <t xml:space="preserve">SANTA CRUZ DA VITORIA</t>
  </si>
  <si>
    <t xml:space="preserve">SANTA MARIA DA VITORIA</t>
  </si>
  <si>
    <t xml:space="preserve">SANTANA</t>
  </si>
  <si>
    <t xml:space="preserve">SAO FELIX DO CORIBE</t>
  </si>
  <si>
    <t xml:space="preserve">SAO GABRIEL</t>
  </si>
  <si>
    <t xml:space="preserve">SAO GONCALO DOS CAMPOS</t>
  </si>
  <si>
    <t xml:space="preserve">SAO JOSE DO JACUIPE</t>
  </si>
  <si>
    <t xml:space="preserve">SAPEACU</t>
  </si>
  <si>
    <t xml:space="preserve">SAUDE</t>
  </si>
  <si>
    <t xml:space="preserve">SERRA DO RAMALHO</t>
  </si>
  <si>
    <t xml:space="preserve">TAPEROA</t>
  </si>
  <si>
    <t xml:space="preserve">TUCANO</t>
  </si>
  <si>
    <t xml:space="preserve">UAUA</t>
  </si>
  <si>
    <t xml:space="preserve">UMBURANAS</t>
  </si>
  <si>
    <t xml:space="preserve">URUCUCA</t>
  </si>
  <si>
    <t xml:space="preserve">UTINGA</t>
  </si>
  <si>
    <t xml:space="preserve">ARACATI</t>
  </si>
  <si>
    <t xml:space="preserve">CRATEUS</t>
  </si>
  <si>
    <t xml:space="preserve">EUSEBIO</t>
  </si>
  <si>
    <t xml:space="preserve">IGUATU</t>
  </si>
  <si>
    <t xml:space="preserve">LIMOEIRO DO NORTE</t>
  </si>
  <si>
    <t xml:space="preserve">MARANGUAPE</t>
  </si>
  <si>
    <t xml:space="preserve">MARCO</t>
  </si>
  <si>
    <t xml:space="preserve">ACARAU</t>
  </si>
  <si>
    <t xml:space="preserve">ARARIPE</t>
  </si>
  <si>
    <t xml:space="preserve">BATURITE</t>
  </si>
  <si>
    <t xml:space="preserve">BEBERIBE</t>
  </si>
  <si>
    <t xml:space="preserve">CRUZ</t>
  </si>
  <si>
    <t xml:space="preserve">GUARACIABA DO NORTE</t>
  </si>
  <si>
    <t xml:space="preserve">HORIZONTE</t>
  </si>
  <si>
    <t xml:space="preserve">ITAPIPOCA</t>
  </si>
  <si>
    <t xml:space="preserve">ITAREMA</t>
  </si>
  <si>
    <t xml:space="preserve">JARDIM</t>
  </si>
  <si>
    <t xml:space="preserve">PACAJUS</t>
  </si>
  <si>
    <t xml:space="preserve">PENAFORTE</t>
  </si>
  <si>
    <t xml:space="preserve">RUSSAS</t>
  </si>
  <si>
    <t xml:space="preserve">TRAIRI</t>
  </si>
  <si>
    <t xml:space="preserve">ACOPIARA</t>
  </si>
  <si>
    <t xml:space="preserve">AMONTADA</t>
  </si>
  <si>
    <t xml:space="preserve">ARATUBA</t>
  </si>
  <si>
    <t xml:space="preserve">AURORA</t>
  </si>
  <si>
    <t xml:space="preserve">BARREIRA</t>
  </si>
  <si>
    <t xml:space="preserve">CAPISTRANO</t>
  </si>
  <si>
    <t xml:space="preserve">CARIRIACU</t>
  </si>
  <si>
    <t xml:space="preserve">CARIUS</t>
  </si>
  <si>
    <t xml:space="preserve">CATARINA</t>
  </si>
  <si>
    <t xml:space="preserve">CEDRO</t>
  </si>
  <si>
    <t xml:space="preserve">CHOROZINHO</t>
  </si>
  <si>
    <t xml:space="preserve">FARIAS BRITO</t>
  </si>
  <si>
    <t xml:space="preserve">FRECHEIRINHA</t>
  </si>
  <si>
    <t xml:space="preserve">GRANJA</t>
  </si>
  <si>
    <t xml:space="preserve">GUAIUBA</t>
  </si>
  <si>
    <t xml:space="preserve">IBIAPINA</t>
  </si>
  <si>
    <t xml:space="preserve">IBICUITINGA</t>
  </si>
  <si>
    <t xml:space="preserve">IPU</t>
  </si>
  <si>
    <t xml:space="preserve">ITAPAJE</t>
  </si>
  <si>
    <t xml:space="preserve">ITATIRA</t>
  </si>
  <si>
    <t xml:space="preserve">JAGUARETAMA</t>
  </si>
  <si>
    <t xml:space="preserve">JAGUARIBARA</t>
  </si>
  <si>
    <t xml:space="preserve">JAGUARIBE</t>
  </si>
  <si>
    <t xml:space="preserve">JAGUARUANA</t>
  </si>
  <si>
    <t xml:space="preserve">JIJOCA DE JERICOACOARA</t>
  </si>
  <si>
    <t xml:space="preserve">LAVRAS DA MANGABEIRA</t>
  </si>
  <si>
    <t xml:space="preserve">MAURITI</t>
  </si>
  <si>
    <t xml:space="preserve">MIRAIMA</t>
  </si>
  <si>
    <t xml:space="preserve">MONSENHOR TABOSA</t>
  </si>
  <si>
    <t xml:space="preserve">MORADA NOVA</t>
  </si>
  <si>
    <t xml:space="preserve">MULUNGU</t>
  </si>
  <si>
    <t xml:space="preserve">NOVA RUSSAS</t>
  </si>
  <si>
    <t xml:space="preserve">NOVO ORIENTE</t>
  </si>
  <si>
    <t xml:space="preserve">PARACURU</t>
  </si>
  <si>
    <t xml:space="preserve">PARAIPABA</t>
  </si>
  <si>
    <t xml:space="preserve">PARAMBU</t>
  </si>
  <si>
    <t xml:space="preserve">PEDRA BRANCA</t>
  </si>
  <si>
    <t xml:space="preserve">PENTECOSTE</t>
  </si>
  <si>
    <t xml:space="preserve">PORANGA</t>
  </si>
  <si>
    <t xml:space="preserve">QUIXERAMOBIM</t>
  </si>
  <si>
    <t xml:space="preserve">RERIUTABA</t>
  </si>
  <si>
    <t xml:space="preserve">SAO BENEDITO</t>
  </si>
  <si>
    <t xml:space="preserve">SENADOR POMPEU</t>
  </si>
  <si>
    <t xml:space="preserve">SOLONOPOLE</t>
  </si>
  <si>
    <t xml:space="preserve">TABULEIRO DO NORTE</t>
  </si>
  <si>
    <t xml:space="preserve">TAUA</t>
  </si>
  <si>
    <t xml:space="preserve">TEJUCUOCA</t>
  </si>
  <si>
    <t xml:space="preserve">TIANGUA</t>
  </si>
  <si>
    <t xml:space="preserve">TURURU</t>
  </si>
  <si>
    <t xml:space="preserve">UBAJARA</t>
  </si>
  <si>
    <t xml:space="preserve">VARZEA ALEGRE</t>
  </si>
  <si>
    <t xml:space="preserve">ACAILANDIA</t>
  </si>
  <si>
    <t xml:space="preserve">SANTA INES</t>
  </si>
  <si>
    <t xml:space="preserve">ARARI</t>
  </si>
  <si>
    <t xml:space="preserve">BALSAS</t>
  </si>
  <si>
    <t xml:space="preserve">CODO</t>
  </si>
  <si>
    <t xml:space="preserve">TIMON</t>
  </si>
  <si>
    <t xml:space="preserve">BURITI</t>
  </si>
  <si>
    <t xml:space="preserve">BURITICUPU</t>
  </si>
  <si>
    <t xml:space="preserve">COROATA</t>
  </si>
  <si>
    <t xml:space="preserve">SANTA LUZIA</t>
  </si>
  <si>
    <t xml:space="preserve">SANTA LUZIA DO PARUA</t>
  </si>
  <si>
    <t xml:space="preserve">SAO RAIMUNDO DAS MANGABEIRAS</t>
  </si>
  <si>
    <t xml:space="preserve">VITORIA DO MEARIM</t>
  </si>
  <si>
    <t xml:space="preserve">ZE DOCA</t>
  </si>
  <si>
    <t xml:space="preserve">ALCANTARA</t>
  </si>
  <si>
    <t xml:space="preserve">AMAPA DO MARANHAO</t>
  </si>
  <si>
    <t xml:space="preserve">ANAJATUBA</t>
  </si>
  <si>
    <t xml:space="preserve">ARAME</t>
  </si>
  <si>
    <t xml:space="preserve">BURITI BRAVO</t>
  </si>
  <si>
    <t xml:space="preserve">COELHO NETO</t>
  </si>
  <si>
    <t xml:space="preserve">COLINAS</t>
  </si>
  <si>
    <t xml:space="preserve">DOM PEDRO</t>
  </si>
  <si>
    <t xml:space="preserve">ESTREITO</t>
  </si>
  <si>
    <t xml:space="preserve">GONCALVES DIAS</t>
  </si>
  <si>
    <t xml:space="preserve">ITAPECURU MIRIM</t>
  </si>
  <si>
    <t xml:space="preserve">ITINGA DO MARANHAO</t>
  </si>
  <si>
    <t xml:space="preserve">JUNCO DO MARANHAO</t>
  </si>
  <si>
    <t xml:space="preserve">MATOES</t>
  </si>
  <si>
    <t xml:space="preserve">PAULO RAMOS</t>
  </si>
  <si>
    <t xml:space="preserve">PEDREIRAS</t>
  </si>
  <si>
    <t xml:space="preserve">PIO XII</t>
  </si>
  <si>
    <t xml:space="preserve">PORTO FRANCO</t>
  </si>
  <si>
    <t xml:space="preserve">RIACHAO</t>
  </si>
  <si>
    <t xml:space="preserve">SAO MATEUS DO MARANHAO</t>
  </si>
  <si>
    <t xml:space="preserve">TUTOIA</t>
  </si>
  <si>
    <t xml:space="preserve">VIANA</t>
  </si>
  <si>
    <t xml:space="preserve">VITORINO FREIRE</t>
  </si>
  <si>
    <t xml:space="preserve">ALTO ALEGRE DO MARANHAO</t>
  </si>
  <si>
    <t xml:space="preserve">ALTO ALEGRE DO PINDARE</t>
  </si>
  <si>
    <t xml:space="preserve">AMARANTE DO MARANHAO</t>
  </si>
  <si>
    <t xml:space="preserve">ANAPURUS</t>
  </si>
  <si>
    <t xml:space="preserve">APICUM-ACU</t>
  </si>
  <si>
    <t xml:space="preserve">ARAIOSES</t>
  </si>
  <si>
    <t xml:space="preserve">BACURI</t>
  </si>
  <si>
    <t xml:space="preserve">BARAO DE GRAJAU</t>
  </si>
  <si>
    <t xml:space="preserve">BELA VISTA DO MARANHAO</t>
  </si>
  <si>
    <t xml:space="preserve">BENEDITO LEITE</t>
  </si>
  <si>
    <t xml:space="preserve">BEQUIMAO</t>
  </si>
  <si>
    <t xml:space="preserve">BOM JARDIM</t>
  </si>
  <si>
    <t xml:space="preserve">BOM LUGAR</t>
  </si>
  <si>
    <t xml:space="preserve">BREJO</t>
  </si>
  <si>
    <t xml:space="preserve">CAMPESTRE DO MARANHAO</t>
  </si>
  <si>
    <t xml:space="preserve">CAROLINA</t>
  </si>
  <si>
    <t xml:space="preserve">CENTRAL DO MARANHAO</t>
  </si>
  <si>
    <t xml:space="preserve">CENTRO DO GUILHERME</t>
  </si>
  <si>
    <t xml:space="preserve">CENTRO NOVO DO MARANHAO</t>
  </si>
  <si>
    <t xml:space="preserve">CIDELANDIA</t>
  </si>
  <si>
    <t xml:space="preserve">CURURUPU</t>
  </si>
  <si>
    <t xml:space="preserve">GOVERNADOR EDISON LOBAO</t>
  </si>
  <si>
    <t xml:space="preserve">GRAJAU</t>
  </si>
  <si>
    <t xml:space="preserve">GUIMARAES</t>
  </si>
  <si>
    <t xml:space="preserve">IGARAPE DO MEIO</t>
  </si>
  <si>
    <t xml:space="preserve">IGARAPE GRANDE</t>
  </si>
  <si>
    <t xml:space="preserve">JOSELANDIA</t>
  </si>
  <si>
    <t xml:space="preserve">LORETO</t>
  </si>
  <si>
    <t xml:space="preserve">MAGALHAES DE ALMEIDA</t>
  </si>
  <si>
    <t xml:space="preserve">MARANHAOZINHO</t>
  </si>
  <si>
    <t xml:space="preserve">MIRINZAL</t>
  </si>
  <si>
    <t xml:space="preserve">NOVA OLINDA DO MARANHAO</t>
  </si>
  <si>
    <t xml:space="preserve">OLHO D'AGUA DAS CUNHAS</t>
  </si>
  <si>
    <t xml:space="preserve">PARAIBANO</t>
  </si>
  <si>
    <t xml:space="preserve">PEDRO DO ROSARIO</t>
  </si>
  <si>
    <t xml:space="preserve">PENALVA</t>
  </si>
  <si>
    <t xml:space="preserve">PERI MIRIM</t>
  </si>
  <si>
    <t xml:space="preserve">PERITORO</t>
  </si>
  <si>
    <t xml:space="preserve">PINHEIRO</t>
  </si>
  <si>
    <t xml:space="preserve">PIRAPEMAS</t>
  </si>
  <si>
    <t xml:space="preserve">PRESIDENTE MEDICI</t>
  </si>
  <si>
    <t xml:space="preserve">PRESIDENTE VARGAS</t>
  </si>
  <si>
    <t xml:space="preserve">RAPOSA</t>
  </si>
  <si>
    <t xml:space="preserve">ROSARIO</t>
  </si>
  <si>
    <t xml:space="preserve">SAMBAIBA</t>
  </si>
  <si>
    <t xml:space="preserve">SANTA QUITERIA DO MARANHAO</t>
  </si>
  <si>
    <t xml:space="preserve">SANTANA DO MARANHAO</t>
  </si>
  <si>
    <t xml:space="preserve">SANTO AMARO DO MARANHAO</t>
  </si>
  <si>
    <t xml:space="preserve">SAO BENEDITO DO RIO PRETO</t>
  </si>
  <si>
    <t xml:space="preserve">SAO BENTO</t>
  </si>
  <si>
    <t xml:space="preserve">SAO JOAO BATISTA</t>
  </si>
  <si>
    <t xml:space="preserve">SAO JOAO DOS PATOS</t>
  </si>
  <si>
    <t xml:space="preserve">SAO LUIS GONZAGA DO MARANHAO</t>
  </si>
  <si>
    <t xml:space="preserve">SAO PEDRO DA AGUA BRANCA</t>
  </si>
  <si>
    <t xml:space="preserve">SAO VICENTE FERRER</t>
  </si>
  <si>
    <t xml:space="preserve">SENADOR ALEXANDRE COSTA</t>
  </si>
  <si>
    <t xml:space="preserve">SENADOR LA ROCQUE</t>
  </si>
  <si>
    <t xml:space="preserve">SITIO NOVO</t>
  </si>
  <si>
    <t xml:space="preserve">TRIZIDELA DO VALE</t>
  </si>
  <si>
    <t xml:space="preserve">TUFILANDIA</t>
  </si>
  <si>
    <t xml:space="preserve">TUNTUM</t>
  </si>
  <si>
    <t xml:space="preserve">TURIACU</t>
  </si>
  <si>
    <t xml:space="preserve">VARGEM GRANDE</t>
  </si>
  <si>
    <t xml:space="preserve">VILA NOVA DOS MARTIRIOS</t>
  </si>
  <si>
    <t xml:space="preserve">CONDE</t>
  </si>
  <si>
    <t xml:space="preserve">ESPERANCA</t>
  </si>
  <si>
    <t xml:space="preserve">GUARABIRA</t>
  </si>
  <si>
    <t xml:space="preserve">MAMANGUAPE</t>
  </si>
  <si>
    <t xml:space="preserve">REMIGIO</t>
  </si>
  <si>
    <t xml:space="preserve">SERRA REDONDA</t>
  </si>
  <si>
    <t xml:space="preserve">AGUA BRANCA</t>
  </si>
  <si>
    <t xml:space="preserve">AGUIAR</t>
  </si>
  <si>
    <t xml:space="preserve">ALAGOA GRANDE</t>
  </si>
  <si>
    <t xml:space="preserve">ARARUNA</t>
  </si>
  <si>
    <t xml:space="preserve">AREIA</t>
  </si>
  <si>
    <t xml:space="preserve">ASSUNCAO</t>
  </si>
  <si>
    <t xml:space="preserve">CAAPORA</t>
  </si>
  <si>
    <t xml:space="preserve">CACHOEIRA DOS INDIOS</t>
  </si>
  <si>
    <t xml:space="preserve">CACIMBAS</t>
  </si>
  <si>
    <t xml:space="preserve">CALDAS BRANDAO</t>
  </si>
  <si>
    <t xml:space="preserve">CONCEICAO</t>
  </si>
  <si>
    <t xml:space="preserve">COREMAS</t>
  </si>
  <si>
    <t xml:space="preserve">CRUZ DO ESPIRITO SANTO</t>
  </si>
  <si>
    <t xml:space="preserve">DESTERRO</t>
  </si>
  <si>
    <t xml:space="preserve">GURJAO</t>
  </si>
  <si>
    <t xml:space="preserve">JUAREZ TAVORA</t>
  </si>
  <si>
    <t xml:space="preserve">MANAIRA</t>
  </si>
  <si>
    <t xml:space="preserve">MARCACAO</t>
  </si>
  <si>
    <t xml:space="preserve">NAZAREZINHO</t>
  </si>
  <si>
    <t xml:space="preserve">PASSAGEM</t>
  </si>
  <si>
    <t xml:space="preserve">PICUI</t>
  </si>
  <si>
    <t xml:space="preserve">POCINHOS</t>
  </si>
  <si>
    <t xml:space="preserve">POMBAL</t>
  </si>
  <si>
    <t xml:space="preserve">PUXINANA</t>
  </si>
  <si>
    <t xml:space="preserve">RIO TINTO</t>
  </si>
  <si>
    <t xml:space="preserve">SANTA CECILIA</t>
  </si>
  <si>
    <t xml:space="preserve">SAO JOSE DE CAIANA</t>
  </si>
  <si>
    <t xml:space="preserve">SAO MAMEDE</t>
  </si>
  <si>
    <t xml:space="preserve">SAPE</t>
  </si>
  <si>
    <t xml:space="preserve">SOLEDADE</t>
  </si>
  <si>
    <t xml:space="preserve">SOUSA</t>
  </si>
  <si>
    <t xml:space="preserve">ABREU E LIMA</t>
  </si>
  <si>
    <t xml:space="preserve">VITORIA DE SANTO ANTAO</t>
  </si>
  <si>
    <t xml:space="preserve">BELO JARDIM</t>
  </si>
  <si>
    <t xml:space="preserve">IPOJUCA</t>
  </si>
  <si>
    <t xml:space="preserve">ARCOVERDE</t>
  </si>
  <si>
    <t xml:space="preserve">GRAVATA</t>
  </si>
  <si>
    <t xml:space="preserve">SANTA CRUZ DO CAPIBARIBE</t>
  </si>
  <si>
    <t xml:space="preserve">ARARIPINA</t>
  </si>
  <si>
    <t xml:space="preserve">BOM CONSELHO</t>
  </si>
  <si>
    <t xml:space="preserve">CABROBO</t>
  </si>
  <si>
    <t xml:space="preserve">CARPINA</t>
  </si>
  <si>
    <t xml:space="preserve">GOIANA</t>
  </si>
  <si>
    <t xml:space="preserve">SALGUEIRO</t>
  </si>
  <si>
    <t xml:space="preserve">SAO BENEDITO DO SUL</t>
  </si>
  <si>
    <t xml:space="preserve">SAO JOSE DO BELMONTE</t>
  </si>
  <si>
    <t xml:space="preserve">SAO LOURENCO DA MATA</t>
  </si>
  <si>
    <t xml:space="preserve">SIRINHAEM</t>
  </si>
  <si>
    <t xml:space="preserve">TACAIMBO</t>
  </si>
  <si>
    <t xml:space="preserve">TAQUARITINGA DO NORTE</t>
  </si>
  <si>
    <t xml:space="preserve">TRIUNFO</t>
  </si>
  <si>
    <t xml:space="preserve">AFOGADOS DA INGAZEIRA</t>
  </si>
  <si>
    <t xml:space="preserve">ALAGOINHA</t>
  </si>
  <si>
    <t xml:space="preserve">BARREIROS</t>
  </si>
  <si>
    <t xml:space="preserve">BELEM DE SAO FRANCISCO</t>
  </si>
  <si>
    <t xml:space="preserve">BEZERROS</t>
  </si>
  <si>
    <t xml:space="preserve">CAMOCIM DE SAO FELIX</t>
  </si>
  <si>
    <t xml:space="preserve">CHA DE ALEGRIA</t>
  </si>
  <si>
    <t xml:space="preserve">OURICURI</t>
  </si>
  <si>
    <t xml:space="preserve">PALMARES</t>
  </si>
  <si>
    <t xml:space="preserve">PESQUEIRA</t>
  </si>
  <si>
    <t xml:space="preserve">PETROLANDIA</t>
  </si>
  <si>
    <t xml:space="preserve">POCAO</t>
  </si>
  <si>
    <t xml:space="preserve">POMBOS</t>
  </si>
  <si>
    <t xml:space="preserve">RIBEIRAO</t>
  </si>
  <si>
    <t xml:space="preserve">SANTA MARIA DA BOA VISTA</t>
  </si>
  <si>
    <t xml:space="preserve">SAO JOSE DO EGITO</t>
  </si>
  <si>
    <t xml:space="preserve">SURUBIM</t>
  </si>
  <si>
    <t xml:space="preserve">TEREZINHA</t>
  </si>
  <si>
    <t xml:space="preserve">TORITAMA</t>
  </si>
  <si>
    <t xml:space="preserve">TUPANATINGA</t>
  </si>
  <si>
    <t xml:space="preserve">ALIANCA</t>
  </si>
  <si>
    <t xml:space="preserve">ALTINHO</t>
  </si>
  <si>
    <t xml:space="preserve">AMARAJI</t>
  </si>
  <si>
    <t xml:space="preserve">ARACOIABA</t>
  </si>
  <si>
    <t xml:space="preserve">CACHOEIRINHA</t>
  </si>
  <si>
    <t xml:space="preserve">CORRENTES</t>
  </si>
  <si>
    <t xml:space="preserve">CUSTODIA</t>
  </si>
  <si>
    <t xml:space="preserve">ESCADA</t>
  </si>
  <si>
    <t xml:space="preserve">FEIRA NOVA</t>
  </si>
  <si>
    <t xml:space="preserve">FLORES</t>
  </si>
  <si>
    <t xml:space="preserve">FLORESTA</t>
  </si>
  <si>
    <t xml:space="preserve">GAMELEIRA</t>
  </si>
  <si>
    <t xml:space="preserve">IATI</t>
  </si>
  <si>
    <t xml:space="preserve">IPUBI</t>
  </si>
  <si>
    <t xml:space="preserve">ITAIBA</t>
  </si>
  <si>
    <t xml:space="preserve">ITAPISSUMA</t>
  </si>
  <si>
    <t xml:space="preserve">ITAQUITINGA</t>
  </si>
  <si>
    <t xml:space="preserve">JATOBA</t>
  </si>
  <si>
    <t xml:space="preserve">JOAO ALFREDO</t>
  </si>
  <si>
    <t xml:space="preserve">JOAQUIM NABUCO</t>
  </si>
  <si>
    <t xml:space="preserve">JUPI</t>
  </si>
  <si>
    <t xml:space="preserve">LAJEDO</t>
  </si>
  <si>
    <t xml:space="preserve">MACAPARANA</t>
  </si>
  <si>
    <t xml:space="preserve">MARAIAL</t>
  </si>
  <si>
    <t xml:space="preserve">MOREILANDIA</t>
  </si>
  <si>
    <t xml:space="preserve">MORENO</t>
  </si>
  <si>
    <t xml:space="preserve">NAZARE DA MATA</t>
  </si>
  <si>
    <t xml:space="preserve">OROCO</t>
  </si>
  <si>
    <t xml:space="preserve">PANELAS</t>
  </si>
  <si>
    <t xml:space="preserve">PAUDALHO</t>
  </si>
  <si>
    <t xml:space="preserve">PEDRA</t>
  </si>
  <si>
    <t xml:space="preserve">PRIMAVERA</t>
  </si>
  <si>
    <t xml:space="preserve">QUIPAPA</t>
  </si>
  <si>
    <t xml:space="preserve">SALOA</t>
  </si>
  <si>
    <t xml:space="preserve">SANHARO</t>
  </si>
  <si>
    <t xml:space="preserve">SAO BENTO DO UNA</t>
  </si>
  <si>
    <t xml:space="preserve">SAO CAITANO</t>
  </si>
  <si>
    <t xml:space="preserve">SAO JOAQUIM DO MONTE</t>
  </si>
  <si>
    <t xml:space="preserve">SERRA TALHADA</t>
  </si>
  <si>
    <t xml:space="preserve">SERTANIA</t>
  </si>
  <si>
    <t xml:space="preserve">SOLIDAO</t>
  </si>
  <si>
    <t xml:space="preserve">TAMANDARE</t>
  </si>
  <si>
    <t xml:space="preserve">TIMBAUBA</t>
  </si>
  <si>
    <t xml:space="preserve">TRINDADE</t>
  </si>
  <si>
    <t xml:space="preserve">VICENCIA</t>
  </si>
  <si>
    <t xml:space="preserve">XEXEU</t>
  </si>
  <si>
    <t xml:space="preserve">FLORIANO</t>
  </si>
  <si>
    <t xml:space="preserve">BARRA D'ALCANTARA</t>
  </si>
  <si>
    <t xml:space="preserve">BARRAS</t>
  </si>
  <si>
    <t xml:space="preserve">CAMPO ALEGRE DO FIDALGO</t>
  </si>
  <si>
    <t xml:space="preserve">CRISTINO CASTRO</t>
  </si>
  <si>
    <t xml:space="preserve">DEMERVAL LOBAO</t>
  </si>
  <si>
    <t xml:space="preserve">ESPERANTINA</t>
  </si>
  <si>
    <t xml:space="preserve">ITAINOPOLIS</t>
  </si>
  <si>
    <t xml:space="preserve">MATIAS OLIMPIO</t>
  </si>
  <si>
    <t xml:space="preserve">PAULISTANA</t>
  </si>
  <si>
    <t xml:space="preserve">PIO IX</t>
  </si>
  <si>
    <t xml:space="preserve">SAO JOAO DA VARJOTA</t>
  </si>
  <si>
    <t xml:space="preserve">ALAGOINHA DO PIAUI</t>
  </si>
  <si>
    <t xml:space="preserve">ALEGRETE DO PIAUI</t>
  </si>
  <si>
    <t xml:space="preserve">ALTOS</t>
  </si>
  <si>
    <t xml:space="preserve">ANISIO DE ABREU</t>
  </si>
  <si>
    <t xml:space="preserve">ARRAIAL</t>
  </si>
  <si>
    <t xml:space="preserve">BOM PRINCIPIO DO PIAUI</t>
  </si>
  <si>
    <t xml:space="preserve">BRASILEIRA</t>
  </si>
  <si>
    <t xml:space="preserve">CANTO DO BURITI</t>
  </si>
  <si>
    <t xml:space="preserve">CAPITAO DE CAMPOS</t>
  </si>
  <si>
    <t xml:space="preserve">CASTELO DO PIAUI</t>
  </si>
  <si>
    <t xml:space="preserve">DOM EXPEDITO LOPES</t>
  </si>
  <si>
    <t xml:space="preserve">INHUMA</t>
  </si>
  <si>
    <t xml:space="preserve">IPIRANGA DO PIAUI</t>
  </si>
  <si>
    <t xml:space="preserve">ISAIAS COELHO</t>
  </si>
  <si>
    <t xml:space="preserve">JAICOS</t>
  </si>
  <si>
    <t xml:space="preserve">JARDIM DO MULATO</t>
  </si>
  <si>
    <t xml:space="preserve">JOAO COSTA</t>
  </si>
  <si>
    <t xml:space="preserve">JUAZEIRO DO PIAUI</t>
  </si>
  <si>
    <t xml:space="preserve">MORRO DO CHAPEU DO PIAUI</t>
  </si>
  <si>
    <t xml:space="preserve">MURICI DOS PORTELAS</t>
  </si>
  <si>
    <t xml:space="preserve">NOVO ORIENTE DO PIAUI</t>
  </si>
  <si>
    <t xml:space="preserve">OEIRAS</t>
  </si>
  <si>
    <t xml:space="preserve">PIMENTEIRAS</t>
  </si>
  <si>
    <t xml:space="preserve">REDENCAO DO GURGUEIA</t>
  </si>
  <si>
    <t xml:space="preserve">RIBEIRA DO PIAUI</t>
  </si>
  <si>
    <t xml:space="preserve">RIO GRANDE DO PIAUI</t>
  </si>
  <si>
    <t xml:space="preserve">SANTA CRUZ DO PIAUI</t>
  </si>
  <si>
    <t xml:space="preserve">SAO JULIAO</t>
  </si>
  <si>
    <t xml:space="preserve">SAO LOURENCO DO PIAUI</t>
  </si>
  <si>
    <t xml:space="preserve">SAO MIGUEL DA BAIXA GRANDE</t>
  </si>
  <si>
    <t xml:space="preserve">SAO PEDRO DO PIAUI</t>
  </si>
  <si>
    <t xml:space="preserve">SAO RAIMUNDO NONATO</t>
  </si>
  <si>
    <t xml:space="preserve">SIMOES</t>
  </si>
  <si>
    <t xml:space="preserve">SIMPLICIO MENDES</t>
  </si>
  <si>
    <t xml:space="preserve">URUCUI</t>
  </si>
  <si>
    <t xml:space="preserve">VERA MENDES</t>
  </si>
  <si>
    <t xml:space="preserve">WALL FERRAZ</t>
  </si>
  <si>
    <t xml:space="preserve">AFONSO BEZERRA</t>
  </si>
  <si>
    <t xml:space="preserve">ANGICOS</t>
  </si>
  <si>
    <t xml:space="preserve">APODI</t>
  </si>
  <si>
    <t xml:space="preserve">AREIA BRANCA</t>
  </si>
  <si>
    <t xml:space="preserve">BARAUNA</t>
  </si>
  <si>
    <t xml:space="preserve">BREJINHO</t>
  </si>
  <si>
    <t xml:space="preserve">ESPIRITO SANTO</t>
  </si>
  <si>
    <t xml:space="preserve">GOIANINHA</t>
  </si>
  <si>
    <t xml:space="preserve">IPANGUACU</t>
  </si>
  <si>
    <t xml:space="preserve">ITAJA</t>
  </si>
  <si>
    <t xml:space="preserve">LAGOA NOVA</t>
  </si>
  <si>
    <t xml:space="preserve">LAGOA SALGADA</t>
  </si>
  <si>
    <t xml:space="preserve">LUCRECIA</t>
  </si>
  <si>
    <t xml:space="preserve">MACAU</t>
  </si>
  <si>
    <t xml:space="preserve">NISIA FLORESTA</t>
  </si>
  <si>
    <t xml:space="preserve">NOVA CRUZ</t>
  </si>
  <si>
    <t xml:space="preserve">PAU DOS FERROS</t>
  </si>
  <si>
    <t xml:space="preserve">PENDENCIAS</t>
  </si>
  <si>
    <t xml:space="preserve">PORTALEGRE</t>
  </si>
  <si>
    <t xml:space="preserve">SENADOR GEORGINO AVELINO</t>
  </si>
  <si>
    <t xml:space="preserve">SERRA CAIADA</t>
  </si>
  <si>
    <t xml:space="preserve">SERRA DE SAO BENTO</t>
  </si>
  <si>
    <t xml:space="preserve">SERRA DO MEL</t>
  </si>
  <si>
    <t xml:space="preserve">SERRA NEGRA DO NORTE</t>
  </si>
  <si>
    <t xml:space="preserve">CRISTINAPOLIS</t>
  </si>
  <si>
    <t xml:space="preserve">ESTANCIA</t>
  </si>
  <si>
    <t xml:space="preserve">MALHADOR</t>
  </si>
  <si>
    <t xml:space="preserve">MARUIM</t>
  </si>
  <si>
    <t xml:space="preserve">NOSSA SENHORA DAS DORES</t>
  </si>
  <si>
    <t xml:space="preserve">PEDRINHAS</t>
  </si>
  <si>
    <t xml:space="preserve">PIRAMBU</t>
  </si>
  <si>
    <t xml:space="preserve">SANTANA DO SAO FRANCISCO</t>
  </si>
  <si>
    <t xml:space="preserve">ARAUA</t>
  </si>
  <si>
    <t xml:space="preserve">CEDRO DE SAO JOAO</t>
  </si>
  <si>
    <t xml:space="preserve">FREI PAULO</t>
  </si>
  <si>
    <t xml:space="preserve">ITABAIANINHA</t>
  </si>
  <si>
    <t xml:space="preserve">ITABI</t>
  </si>
  <si>
    <t xml:space="preserve">ITAPORANGA D'AJUDA</t>
  </si>
  <si>
    <t xml:space="preserve">LAGARTO</t>
  </si>
  <si>
    <t xml:space="preserve">LARANJEIRAS</t>
  </si>
  <si>
    <t xml:space="preserve">MOITA BONITA</t>
  </si>
  <si>
    <t xml:space="preserve">MONTE ALEGRE DE SERGIPE</t>
  </si>
  <si>
    <t xml:space="preserve">RIACHAO DO DANTAS</t>
  </si>
  <si>
    <t xml:space="preserve">RIACHUELO</t>
  </si>
  <si>
    <t xml:space="preserve">ROSARIO DO CATETE</t>
  </si>
  <si>
    <t xml:space="preserve">SANTA LUZIA DO ITANHY</t>
  </si>
  <si>
    <t xml:space="preserve">SAO FRANCISCO</t>
  </si>
  <si>
    <t xml:space="preserve">SAO MIGUEL DO ALEIXO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</si>
</sst>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48"/>
    <col collapsed="false" customWidth="true" hidden="false" outlineLevel="0" max="8" min="8" style="0" width="3"/>
    <col collapsed="false" customWidth="true" hidden="false" outlineLevel="0" max="9" min="9" style="0" width="6"/>
    <col collapsed="false" customWidth="true" hidden="false" outlineLevel="0" max="10" min="10" style="0" width="32"/>
    <col collapsed="false" customWidth="true" hidden="false" outlineLevel="0" max="13" min="11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I4" s="3" t="s">
        <v>3</v>
      </c>
    </row>
    <row r="5" customFormat="false" ht="31.5" hidden="false" customHeight="true" outlineLevel="0" collapsed="false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I5" s="4" t="s">
        <v>4</v>
      </c>
      <c r="J5" s="4" t="s">
        <v>10</v>
      </c>
      <c r="K5" s="4" t="s">
        <v>5</v>
      </c>
      <c r="L5" s="4" t="s">
        <v>11</v>
      </c>
      <c r="M5" s="4" t="s">
        <v>12</v>
      </c>
    </row>
    <row r="6" customFormat="false" ht="15" hidden="false" customHeight="false" outlineLevel="0" collapsed="false">
      <c r="A6" s="5" t="s">
        <v>13</v>
      </c>
      <c r="B6" s="6" t="n">
        <f aca="false">SUMIFS($K$6:$K$728,$I$6:$I$728,A6)</f>
        <v>873</v>
      </c>
      <c r="C6" s="7" t="n">
        <f aca="false">B6/$B$15</f>
        <v>0.300103128222757</v>
      </c>
      <c r="D6" s="6" t="n">
        <f aca="false">COUNTIFS($I$6:$I$728,A6)</f>
        <v>195</v>
      </c>
      <c r="E6" s="6" t="n">
        <f aca="false">SUMIFS($D$20:$D$109,$A$20:$A$109,A6)</f>
        <v>506</v>
      </c>
      <c r="F6" s="7" t="n">
        <f aca="false">E6/B6</f>
        <v>0.579610538373425</v>
      </c>
      <c r="I6" s="8" t="s">
        <v>14</v>
      </c>
      <c r="J6" s="8" t="s">
        <v>15</v>
      </c>
      <c r="K6" s="9" t="n">
        <v>114</v>
      </c>
      <c r="L6" s="8" t="n">
        <f aca="false">COUNTIFS($I$6:$I$728,I6,$K$6:$K$728,"&gt;"&amp;K6)+1</f>
        <v>1</v>
      </c>
      <c r="M6" s="10" t="n">
        <f aca="false">K6/SUMIFS($K$6:$K$728,$I$6:$I$728,I6)</f>
        <v>0.493506493506494</v>
      </c>
    </row>
    <row r="7" customFormat="false" ht="15" hidden="false" customHeight="false" outlineLevel="0" collapsed="false">
      <c r="A7" s="5" t="s">
        <v>16</v>
      </c>
      <c r="B7" s="6" t="n">
        <f aca="false">SUMIFS($K$6:$K$728,$I$6:$I$728,A7)</f>
        <v>537</v>
      </c>
      <c r="C7" s="7" t="n">
        <f aca="false">B7/$B$15</f>
        <v>0.18459951873496</v>
      </c>
      <c r="D7" s="6" t="n">
        <f aca="false">COUNTIFS($I$6:$I$728,A7)</f>
        <v>99</v>
      </c>
      <c r="E7" s="6" t="n">
        <f aca="false">SUMIFS($D$20:$D$109,$A$20:$A$109,A7)</f>
        <v>363</v>
      </c>
      <c r="F7" s="7" t="n">
        <f aca="false">E7/B7</f>
        <v>0.675977653631285</v>
      </c>
      <c r="I7" s="8" t="s">
        <v>14</v>
      </c>
      <c r="J7" s="8" t="s">
        <v>17</v>
      </c>
      <c r="K7" s="9" t="n">
        <v>26</v>
      </c>
      <c r="L7" s="8" t="n">
        <f aca="false">COUNTIFS($I$6:$I$728,I7,$K$6:$K$728,"&gt;"&amp;K7)+1</f>
        <v>2</v>
      </c>
      <c r="M7" s="10" t="n">
        <f aca="false">K7/SUMIFS($K$6:$K$728,$I$6:$I$728,I7)</f>
        <v>0.112554112554113</v>
      </c>
    </row>
    <row r="8" customFormat="false" ht="15" hidden="false" customHeight="false" outlineLevel="0" collapsed="false">
      <c r="A8" s="5" t="s">
        <v>18</v>
      </c>
      <c r="B8" s="6" t="n">
        <f aca="false">SUMIFS($K$6:$K$728,$I$6:$I$728,A8)</f>
        <v>366</v>
      </c>
      <c r="C8" s="7" t="n">
        <f aca="false">B8/$B$15</f>
        <v>0.125816431763493</v>
      </c>
      <c r="D8" s="6" t="n">
        <f aca="false">COUNTIFS($I$6:$I$728,A8)</f>
        <v>83</v>
      </c>
      <c r="E8" s="6" t="n">
        <f aca="false">SUMIFS($D$20:$D$109,$A$20:$A$109,A8)</f>
        <v>264</v>
      </c>
      <c r="F8" s="7" t="n">
        <f aca="false">E8/B8</f>
        <v>0.721311475409836</v>
      </c>
      <c r="I8" s="8" t="s">
        <v>14</v>
      </c>
      <c r="J8" s="8" t="s">
        <v>19</v>
      </c>
      <c r="K8" s="9" t="n">
        <v>6</v>
      </c>
      <c r="L8" s="8" t="n">
        <f aca="false">COUNTIFS($I$6:$I$728,I8,$K$6:$K$728,"&gt;"&amp;K8)+1</f>
        <v>3</v>
      </c>
      <c r="M8" s="10" t="n">
        <f aca="false">K8/SUMIFS($K$6:$K$728,$I$6:$I$728,I8)</f>
        <v>0.025974025974026</v>
      </c>
    </row>
    <row r="9" customFormat="false" ht="15" hidden="false" customHeight="false" outlineLevel="0" collapsed="false">
      <c r="A9" s="5" t="s">
        <v>20</v>
      </c>
      <c r="B9" s="6" t="n">
        <f aca="false">SUMIFS($K$6:$K$728,$I$6:$I$728,A9)</f>
        <v>319</v>
      </c>
      <c r="C9" s="7" t="n">
        <f aca="false">B9/$B$15</f>
        <v>0.109659676864902</v>
      </c>
      <c r="D9" s="6" t="n">
        <f aca="false">COUNTIFS($I$6:$I$728,A9)</f>
        <v>113</v>
      </c>
      <c r="E9" s="6" t="n">
        <f aca="false">SUMIFS($D$20:$D$109,$A$20:$A$109,A9)</f>
        <v>154</v>
      </c>
      <c r="F9" s="7" t="n">
        <f aca="false">E9/B9</f>
        <v>0.482758620689655</v>
      </c>
      <c r="I9" s="8" t="s">
        <v>14</v>
      </c>
      <c r="J9" s="8" t="s">
        <v>21</v>
      </c>
      <c r="K9" s="9" t="n">
        <v>6</v>
      </c>
      <c r="L9" s="8" t="n">
        <f aca="false">COUNTIFS($I$6:$I$728,I9,$K$6:$K$728,"&gt;"&amp;K9)+1</f>
        <v>3</v>
      </c>
      <c r="M9" s="10" t="n">
        <f aca="false">K9/SUMIFS($K$6:$K$728,$I$6:$I$728,I9)</f>
        <v>0.025974025974026</v>
      </c>
    </row>
    <row r="10" customFormat="false" ht="15" hidden="false" customHeight="false" outlineLevel="0" collapsed="false">
      <c r="A10" s="5" t="s">
        <v>14</v>
      </c>
      <c r="B10" s="6" t="n">
        <f aca="false">SUMIFS($K$6:$K$728,$I$6:$I$728,A10)</f>
        <v>231</v>
      </c>
      <c r="C10" s="7" t="n">
        <f aca="false">B10/$B$15</f>
        <v>0.0794087315228601</v>
      </c>
      <c r="D10" s="6" t="n">
        <f aca="false">COUNTIFS($I$6:$I$728,A10)</f>
        <v>55</v>
      </c>
      <c r="E10" s="6" t="n">
        <f aca="false">SUMIFS($D$20:$D$109,$A$20:$A$109,A10)</f>
        <v>171</v>
      </c>
      <c r="F10" s="7" t="n">
        <f aca="false">E10/B10</f>
        <v>0.74025974025974</v>
      </c>
      <c r="I10" s="8" t="s">
        <v>14</v>
      </c>
      <c r="J10" s="8" t="s">
        <v>22</v>
      </c>
      <c r="K10" s="9" t="n">
        <v>4</v>
      </c>
      <c r="L10" s="8" t="n">
        <f aca="false">COUNTIFS($I$6:$I$728,I10,$K$6:$K$728,"&gt;"&amp;K10)+1</f>
        <v>5</v>
      </c>
      <c r="M10" s="10" t="n">
        <f aca="false">K10/SUMIFS($K$6:$K$728,$I$6:$I$728,I10)</f>
        <v>0.0173160173160173</v>
      </c>
    </row>
    <row r="11" customFormat="false" ht="15" hidden="false" customHeight="false" outlineLevel="0" collapsed="false">
      <c r="A11" s="5" t="s">
        <v>23</v>
      </c>
      <c r="B11" s="6" t="n">
        <f aca="false">SUMIFS($K$6:$K$728,$I$6:$I$728,A11)</f>
        <v>173</v>
      </c>
      <c r="C11" s="7" t="n">
        <f aca="false">B11/$B$15</f>
        <v>0.0594706084565143</v>
      </c>
      <c r="D11" s="6" t="n">
        <f aca="false">COUNTIFS($I$6:$I$728,A11)</f>
        <v>59</v>
      </c>
      <c r="E11" s="6" t="n">
        <f aca="false">SUMIFS($D$20:$D$109,$A$20:$A$109,A11)</f>
        <v>111</v>
      </c>
      <c r="F11" s="7" t="n">
        <f aca="false">E11/B11</f>
        <v>0.641618497109827</v>
      </c>
      <c r="I11" s="8" t="s">
        <v>14</v>
      </c>
      <c r="J11" s="8" t="s">
        <v>24</v>
      </c>
      <c r="K11" s="9" t="n">
        <v>3</v>
      </c>
      <c r="L11" s="8" t="n">
        <f aca="false">COUNTIFS($I$6:$I$728,I11,$K$6:$K$728,"&gt;"&amp;K11)+1</f>
        <v>6</v>
      </c>
      <c r="M11" s="10" t="n">
        <f aca="false">K11/SUMIFS($K$6:$K$728,$I$6:$I$728,I11)</f>
        <v>0.012987012987013</v>
      </c>
    </row>
    <row r="12" customFormat="false" ht="15" hidden="false" customHeight="false" outlineLevel="0" collapsed="false">
      <c r="A12" s="5" t="s">
        <v>25</v>
      </c>
      <c r="B12" s="6" t="n">
        <f aca="false">SUMIFS($K$6:$K$728,$I$6:$I$728,A12)</f>
        <v>163</v>
      </c>
      <c r="C12" s="7" t="n">
        <f aca="false">B12/$B$15</f>
        <v>0.0560330010312822</v>
      </c>
      <c r="D12" s="6" t="n">
        <f aca="false">COUNTIFS($I$6:$I$728,A12)</f>
        <v>48</v>
      </c>
      <c r="E12" s="6" t="n">
        <f aca="false">SUMIFS($D$20:$D$109,$A$20:$A$109,A12)</f>
        <v>118</v>
      </c>
      <c r="F12" s="7" t="n">
        <f aca="false">E12/B12</f>
        <v>0.723926380368098</v>
      </c>
      <c r="I12" s="8" t="s">
        <v>14</v>
      </c>
      <c r="J12" s="8" t="s">
        <v>26</v>
      </c>
      <c r="K12" s="9" t="n">
        <v>3</v>
      </c>
      <c r="L12" s="8" t="n">
        <f aca="false">COUNTIFS($I$6:$I$728,I12,$K$6:$K$728,"&gt;"&amp;K12)+1</f>
        <v>6</v>
      </c>
      <c r="M12" s="10" t="n">
        <f aca="false">K12/SUMIFS($K$6:$K$728,$I$6:$I$728,I12)</f>
        <v>0.012987012987013</v>
      </c>
    </row>
    <row r="13" customFormat="false" ht="15" hidden="false" customHeight="false" outlineLevel="0" collapsed="false">
      <c r="A13" s="5" t="s">
        <v>27</v>
      </c>
      <c r="B13" s="6" t="n">
        <f aca="false">SUMIFS($K$6:$K$728,$I$6:$I$728,A13)</f>
        <v>135</v>
      </c>
      <c r="C13" s="7" t="n">
        <f aca="false">B13/$B$15</f>
        <v>0.0464077002406325</v>
      </c>
      <c r="D13" s="6" t="n">
        <f aca="false">COUNTIFS($I$6:$I$728,A13)</f>
        <v>36</v>
      </c>
      <c r="E13" s="6" t="n">
        <f aca="false">SUMIFS($D$20:$D$109,$A$20:$A$109,A13)</f>
        <v>100</v>
      </c>
      <c r="F13" s="7" t="n">
        <f aca="false">E13/B13</f>
        <v>0.740740740740741</v>
      </c>
      <c r="I13" s="8" t="s">
        <v>14</v>
      </c>
      <c r="J13" s="8" t="s">
        <v>28</v>
      </c>
      <c r="K13" s="9" t="n">
        <v>3</v>
      </c>
      <c r="L13" s="8" t="n">
        <f aca="false">COUNTIFS($I$6:$I$728,I13,$K$6:$K$728,"&gt;"&amp;K13)+1</f>
        <v>6</v>
      </c>
      <c r="M13" s="10" t="n">
        <f aca="false">K13/SUMIFS($K$6:$K$728,$I$6:$I$728,I13)</f>
        <v>0.012987012987013</v>
      </c>
    </row>
    <row r="14" customFormat="false" ht="15" hidden="false" customHeight="false" outlineLevel="0" collapsed="false">
      <c r="A14" s="5" t="s">
        <v>29</v>
      </c>
      <c r="B14" s="6" t="n">
        <f aca="false">SUMIFS($K$6:$K$728,$I$6:$I$728,A14)</f>
        <v>112</v>
      </c>
      <c r="C14" s="7" t="n">
        <f aca="false">B14/$B$15</f>
        <v>0.0385012031625988</v>
      </c>
      <c r="D14" s="6" t="n">
        <f aca="false">COUNTIFS($I$6:$I$728,A14)</f>
        <v>35</v>
      </c>
      <c r="E14" s="6" t="n">
        <f aca="false">SUMIFS($D$20:$D$109,$A$20:$A$109,A14)</f>
        <v>87</v>
      </c>
      <c r="F14" s="7" t="n">
        <f aca="false">E14/B14</f>
        <v>0.776785714285714</v>
      </c>
      <c r="I14" s="8" t="s">
        <v>14</v>
      </c>
      <c r="J14" s="8" t="s">
        <v>30</v>
      </c>
      <c r="K14" s="9" t="n">
        <v>3</v>
      </c>
      <c r="L14" s="8" t="n">
        <f aca="false">COUNTIFS($I$6:$I$728,I14,$K$6:$K$728,"&gt;"&amp;K14)+1</f>
        <v>6</v>
      </c>
      <c r="M14" s="10" t="n">
        <f aca="false">K14/SUMIFS($K$6:$K$728,$I$6:$I$728,I14)</f>
        <v>0.012987012987013</v>
      </c>
    </row>
    <row r="15" customFormat="false" ht="15" hidden="false" customHeight="false" outlineLevel="0" collapsed="false">
      <c r="A15" s="11" t="s">
        <v>31</v>
      </c>
      <c r="B15" s="12" t="n">
        <f aca="false">SUM(B6:B14)</f>
        <v>2909</v>
      </c>
      <c r="C15" s="13" t="n">
        <f aca="false">B15/$B$15</f>
        <v>1</v>
      </c>
      <c r="D15" s="12" t="n">
        <f aca="false">SUM(D6:D14)</f>
        <v>723</v>
      </c>
      <c r="E15" s="12" t="n">
        <f aca="false">SUM(E6:E14)</f>
        <v>1874</v>
      </c>
      <c r="F15" s="13" t="n">
        <f aca="false">E15/B15</f>
        <v>0.644207631488484</v>
      </c>
      <c r="I15" s="8" t="s">
        <v>14</v>
      </c>
      <c r="J15" s="8" t="s">
        <v>32</v>
      </c>
      <c r="K15" s="9" t="n">
        <v>3</v>
      </c>
      <c r="L15" s="8" t="n">
        <f aca="false">COUNTIFS($I$6:$I$728,I15,$K$6:$K$728,"&gt;"&amp;K15)+1</f>
        <v>6</v>
      </c>
      <c r="M15" s="10" t="n">
        <f aca="false">K15/SUMIFS($K$6:$K$728,$I$6:$I$728,I15)</f>
        <v>0.012987012987013</v>
      </c>
    </row>
    <row r="16" customFormat="false" ht="15" hidden="false" customHeight="false" outlineLevel="0" collapsed="false">
      <c r="I16" s="8" t="s">
        <v>14</v>
      </c>
      <c r="J16" s="8" t="s">
        <v>33</v>
      </c>
      <c r="K16" s="9" t="n">
        <v>3</v>
      </c>
      <c r="L16" s="8" t="n">
        <f aca="false">COUNTIFS($I$6:$I$728,I16,$K$6:$K$728,"&gt;"&amp;K16)+1</f>
        <v>6</v>
      </c>
      <c r="M16" s="10" t="n">
        <f aca="false">K16/SUMIFS($K$6:$K$728,$I$6:$I$728,I16)</f>
        <v>0.012987012987013</v>
      </c>
    </row>
    <row r="17" customFormat="false" ht="15" hidden="false" customHeight="false" outlineLevel="0" collapsed="false">
      <c r="I17" s="8" t="s">
        <v>14</v>
      </c>
      <c r="J17" s="8" t="s">
        <v>34</v>
      </c>
      <c r="K17" s="9" t="n">
        <v>2</v>
      </c>
      <c r="L17" s="8" t="n">
        <f aca="false">COUNTIFS($I$6:$I$728,I17,$K$6:$K$728,"&gt;"&amp;K17)+1</f>
        <v>12</v>
      </c>
      <c r="M17" s="10" t="n">
        <f aca="false">K17/SUMIFS($K$6:$K$728,$I$6:$I$728,I17)</f>
        <v>0.00865800865800866</v>
      </c>
    </row>
    <row r="18" customFormat="false" ht="15" hidden="false" customHeight="false" outlineLevel="0" collapsed="false">
      <c r="A18" s="3" t="s">
        <v>35</v>
      </c>
      <c r="I18" s="8" t="s">
        <v>14</v>
      </c>
      <c r="J18" s="8" t="s">
        <v>36</v>
      </c>
      <c r="K18" s="9" t="n">
        <v>2</v>
      </c>
      <c r="L18" s="8" t="n">
        <f aca="false">COUNTIFS($I$6:$I$728,I18,$K$6:$K$728,"&gt;"&amp;K18)+1</f>
        <v>12</v>
      </c>
      <c r="M18" s="10" t="n">
        <f aca="false">K18/SUMIFS($K$6:$K$728,$I$6:$I$728,I18)</f>
        <v>0.00865800865800866</v>
      </c>
    </row>
    <row r="19" customFormat="false" ht="31.5" hidden="false" customHeight="true" outlineLevel="0" collapsed="false">
      <c r="A19" s="4" t="s">
        <v>4</v>
      </c>
      <c r="B19" s="4" t="s">
        <v>37</v>
      </c>
      <c r="C19" s="4" t="s">
        <v>10</v>
      </c>
      <c r="D19" s="4" t="s">
        <v>5</v>
      </c>
      <c r="E19" s="4" t="s">
        <v>12</v>
      </c>
      <c r="F19" s="4" t="s">
        <v>38</v>
      </c>
      <c r="G19" s="4" t="s">
        <v>39</v>
      </c>
      <c r="I19" s="8" t="s">
        <v>14</v>
      </c>
      <c r="J19" s="8" t="s">
        <v>40</v>
      </c>
      <c r="K19" s="9" t="n">
        <v>2</v>
      </c>
      <c r="L19" s="8" t="n">
        <f aca="false">COUNTIFS($I$6:$I$728,I19,$K$6:$K$728,"&gt;"&amp;K19)+1</f>
        <v>12</v>
      </c>
      <c r="M19" s="10" t="n">
        <f aca="false">K19/SUMIFS($K$6:$K$728,$I$6:$I$728,I19)</f>
        <v>0.00865800865800866</v>
      </c>
    </row>
    <row r="20" customFormat="false" ht="15" hidden="false" customHeight="false" outlineLevel="0" collapsed="false">
      <c r="A20" s="14" t="s">
        <v>13</v>
      </c>
      <c r="B20" s="14" t="n">
        <v>1</v>
      </c>
      <c r="C20" s="14" t="s">
        <v>41</v>
      </c>
      <c r="D20" s="6" t="n">
        <f aca="false">SUMIFS($K$6:$K$728,$I$6:$I$728,A20,$J$6:$J$728,C20)</f>
        <v>298</v>
      </c>
      <c r="E20" s="7" t="n">
        <f aca="false">D20/SUMIFS($K$6:$K$728,$I$6:$I$728,A20)</f>
        <v>0.34135166093929</v>
      </c>
      <c r="F20" s="7" t="n">
        <f aca="false">SUM(D$20:D20)/SUMIFS($K$6:$K$728,$I$6:$I$728,A20)</f>
        <v>0.34135166093929</v>
      </c>
      <c r="G20" s="15"/>
      <c r="I20" s="8" t="s">
        <v>14</v>
      </c>
      <c r="J20" s="8" t="s">
        <v>42</v>
      </c>
      <c r="K20" s="9" t="n">
        <v>2</v>
      </c>
      <c r="L20" s="8" t="n">
        <f aca="false">COUNTIFS($I$6:$I$728,I20,$K$6:$K$728,"&gt;"&amp;K20)+1</f>
        <v>12</v>
      </c>
      <c r="M20" s="10" t="n">
        <f aca="false">K20/SUMIFS($K$6:$K$728,$I$6:$I$728,I20)</f>
        <v>0.00865800865800866</v>
      </c>
    </row>
    <row r="21" customFormat="false" ht="15" hidden="false" customHeight="false" outlineLevel="0" collapsed="false">
      <c r="A21" s="14" t="s">
        <v>13</v>
      </c>
      <c r="B21" s="14" t="n">
        <v>2</v>
      </c>
      <c r="C21" s="14" t="s">
        <v>43</v>
      </c>
      <c r="D21" s="6" t="n">
        <f aca="false">SUMIFS($K$6:$K$728,$I$6:$I$728,A21,$J$6:$J$728,C21)</f>
        <v>42</v>
      </c>
      <c r="E21" s="7" t="n">
        <f aca="false">D21/SUMIFS($K$6:$K$728,$I$6:$I$728,A21)</f>
        <v>0.0481099656357388</v>
      </c>
      <c r="F21" s="7" t="n">
        <f aca="false">SUM(D$20:D21)/SUMIFS($K$6:$K$728,$I$6:$I$728,A21)</f>
        <v>0.389461626575029</v>
      </c>
      <c r="G21" s="15"/>
      <c r="I21" s="8" t="s">
        <v>14</v>
      </c>
      <c r="J21" s="8" t="s">
        <v>44</v>
      </c>
      <c r="K21" s="9" t="n">
        <v>2</v>
      </c>
      <c r="L21" s="8" t="n">
        <f aca="false">COUNTIFS($I$6:$I$728,I21,$K$6:$K$728,"&gt;"&amp;K21)+1</f>
        <v>12</v>
      </c>
      <c r="M21" s="10" t="n">
        <f aca="false">K21/SUMIFS($K$6:$K$728,$I$6:$I$728,I21)</f>
        <v>0.00865800865800866</v>
      </c>
    </row>
    <row r="22" customFormat="false" ht="15" hidden="false" customHeight="false" outlineLevel="0" collapsed="false">
      <c r="A22" s="14" t="s">
        <v>13</v>
      </c>
      <c r="B22" s="14" t="n">
        <v>3</v>
      </c>
      <c r="C22" s="14" t="s">
        <v>45</v>
      </c>
      <c r="D22" s="6" t="n">
        <f aca="false">SUMIFS($K$6:$K$728,$I$6:$I$728,A22,$J$6:$J$728,C22)</f>
        <v>39</v>
      </c>
      <c r="E22" s="7" t="n">
        <f aca="false">D22/SUMIFS($K$6:$K$728,$I$6:$I$728,A22)</f>
        <v>0.0446735395189003</v>
      </c>
      <c r="F22" s="7" t="n">
        <f aca="false">SUM(D$20:D22)/SUMIFS($K$6:$K$728,$I$6:$I$728,A22)</f>
        <v>0.434135166093929</v>
      </c>
      <c r="G22" s="15"/>
      <c r="I22" s="8" t="s">
        <v>14</v>
      </c>
      <c r="J22" s="8" t="s">
        <v>46</v>
      </c>
      <c r="K22" s="9" t="n">
        <v>2</v>
      </c>
      <c r="L22" s="8" t="n">
        <f aca="false">COUNTIFS($I$6:$I$728,I22,$K$6:$K$728,"&gt;"&amp;K22)+1</f>
        <v>12</v>
      </c>
      <c r="M22" s="10" t="n">
        <f aca="false">K22/SUMIFS($K$6:$K$728,$I$6:$I$728,I22)</f>
        <v>0.00865800865800866</v>
      </c>
    </row>
    <row r="23" customFormat="false" ht="15" hidden="false" customHeight="false" outlineLevel="0" collapsed="false">
      <c r="A23" s="14" t="s">
        <v>13</v>
      </c>
      <c r="B23" s="14" t="n">
        <v>4</v>
      </c>
      <c r="C23" s="14" t="s">
        <v>47</v>
      </c>
      <c r="D23" s="6" t="n">
        <f aca="false">SUMIFS($K$6:$K$728,$I$6:$I$728,A23,$J$6:$J$728,C23)</f>
        <v>30</v>
      </c>
      <c r="E23" s="7" t="n">
        <f aca="false">D23/SUMIFS($K$6:$K$728,$I$6:$I$728,A23)</f>
        <v>0.0343642611683849</v>
      </c>
      <c r="F23" s="7" t="n">
        <f aca="false">SUM(D$20:D23)/SUMIFS($K$6:$K$728,$I$6:$I$728,A23)</f>
        <v>0.468499427262314</v>
      </c>
      <c r="G23" s="15"/>
      <c r="I23" s="8" t="s">
        <v>14</v>
      </c>
      <c r="J23" s="8" t="s">
        <v>48</v>
      </c>
      <c r="K23" s="9" t="n">
        <v>2</v>
      </c>
      <c r="L23" s="8" t="n">
        <f aca="false">COUNTIFS($I$6:$I$728,I23,$K$6:$K$728,"&gt;"&amp;K23)+1</f>
        <v>12</v>
      </c>
      <c r="M23" s="10" t="n">
        <f aca="false">K23/SUMIFS($K$6:$K$728,$I$6:$I$728,I23)</f>
        <v>0.00865800865800866</v>
      </c>
    </row>
    <row r="24" customFormat="false" ht="15" hidden="false" customHeight="false" outlineLevel="0" collapsed="false">
      <c r="A24" s="14" t="s">
        <v>13</v>
      </c>
      <c r="B24" s="14" t="n">
        <v>5</v>
      </c>
      <c r="C24" s="14" t="s">
        <v>49</v>
      </c>
      <c r="D24" s="6" t="n">
        <f aca="false">SUMIFS($K$6:$K$728,$I$6:$I$728,A24,$J$6:$J$728,C24)</f>
        <v>23</v>
      </c>
      <c r="E24" s="7" t="n">
        <f aca="false">D24/SUMIFS($K$6:$K$728,$I$6:$I$728,A24)</f>
        <v>0.0263459335624284</v>
      </c>
      <c r="F24" s="7" t="n">
        <f aca="false">SUM(D$20:D24)/SUMIFS($K$6:$K$728,$I$6:$I$728,A24)</f>
        <v>0.494845360824742</v>
      </c>
      <c r="G24" s="15"/>
      <c r="I24" s="8" t="s">
        <v>14</v>
      </c>
      <c r="J24" s="8" t="s">
        <v>50</v>
      </c>
      <c r="K24" s="9" t="n">
        <v>2</v>
      </c>
      <c r="L24" s="8" t="n">
        <f aca="false">COUNTIFS($I$6:$I$728,I24,$K$6:$K$728,"&gt;"&amp;K24)+1</f>
        <v>12</v>
      </c>
      <c r="M24" s="10" t="n">
        <f aca="false">K24/SUMIFS($K$6:$K$728,$I$6:$I$728,I24)</f>
        <v>0.00865800865800866</v>
      </c>
    </row>
    <row r="25" customFormat="false" ht="15" hidden="false" customHeight="false" outlineLevel="0" collapsed="false">
      <c r="A25" s="14" t="s">
        <v>13</v>
      </c>
      <c r="B25" s="14" t="n">
        <v>6</v>
      </c>
      <c r="C25" s="14" t="s">
        <v>51</v>
      </c>
      <c r="D25" s="6" t="n">
        <f aca="false">SUMIFS($K$6:$K$728,$I$6:$I$728,A25,$J$6:$J$728,C25)</f>
        <v>19</v>
      </c>
      <c r="E25" s="7" t="n">
        <f aca="false">D25/SUMIFS($K$6:$K$728,$I$6:$I$728,A25)</f>
        <v>0.0217640320733104</v>
      </c>
      <c r="F25" s="7" t="n">
        <f aca="false">SUM(D$20:D25)/SUMIFS($K$6:$K$728,$I$6:$I$728,A25)</f>
        <v>0.516609392898053</v>
      </c>
      <c r="G25" s="15"/>
      <c r="I25" s="8" t="s">
        <v>14</v>
      </c>
      <c r="J25" s="8" t="s">
        <v>52</v>
      </c>
      <c r="K25" s="9" t="n">
        <v>2</v>
      </c>
      <c r="L25" s="8" t="n">
        <f aca="false">COUNTIFS($I$6:$I$728,I25,$K$6:$K$728,"&gt;"&amp;K25)+1</f>
        <v>12</v>
      </c>
      <c r="M25" s="10" t="n">
        <f aca="false">K25/SUMIFS($K$6:$K$728,$I$6:$I$728,I25)</f>
        <v>0.00865800865800866</v>
      </c>
    </row>
    <row r="26" customFormat="false" ht="15" hidden="false" customHeight="false" outlineLevel="0" collapsed="false">
      <c r="A26" s="14" t="s">
        <v>13</v>
      </c>
      <c r="B26" s="14" t="n">
        <v>7</v>
      </c>
      <c r="C26" s="14" t="s">
        <v>53</v>
      </c>
      <c r="D26" s="6" t="n">
        <f aca="false">SUMIFS($K$6:$K$728,$I$6:$I$728,A26,$J$6:$J$728,C26)</f>
        <v>19</v>
      </c>
      <c r="E26" s="7" t="n">
        <f aca="false">D26/SUMIFS($K$6:$K$728,$I$6:$I$728,A26)</f>
        <v>0.0217640320733104</v>
      </c>
      <c r="F26" s="7" t="n">
        <f aca="false">SUM(D$20:D26)/SUMIFS($K$6:$K$728,$I$6:$I$728,A26)</f>
        <v>0.538373424971363</v>
      </c>
      <c r="G26" s="15"/>
      <c r="I26" s="8" t="s">
        <v>14</v>
      </c>
      <c r="J26" s="8" t="s">
        <v>54</v>
      </c>
      <c r="K26" s="9" t="n">
        <v>2</v>
      </c>
      <c r="L26" s="8" t="n">
        <f aca="false">COUNTIFS($I$6:$I$728,I26,$K$6:$K$728,"&gt;"&amp;K26)+1</f>
        <v>12</v>
      </c>
      <c r="M26" s="10" t="n">
        <f aca="false">K26/SUMIFS($K$6:$K$728,$I$6:$I$728,I26)</f>
        <v>0.00865800865800866</v>
      </c>
    </row>
    <row r="27" customFormat="false" ht="15" hidden="false" customHeight="false" outlineLevel="0" collapsed="false">
      <c r="A27" s="14" t="s">
        <v>13</v>
      </c>
      <c r="B27" s="14" t="n">
        <v>8</v>
      </c>
      <c r="C27" s="14" t="s">
        <v>55</v>
      </c>
      <c r="D27" s="6" t="n">
        <f aca="false">SUMIFS($K$6:$K$728,$I$6:$I$728,A27,$J$6:$J$728,C27)</f>
        <v>13</v>
      </c>
      <c r="E27" s="7" t="n">
        <f aca="false">D27/SUMIFS($K$6:$K$728,$I$6:$I$728,A27)</f>
        <v>0.0148911798396334</v>
      </c>
      <c r="F27" s="7" t="n">
        <f aca="false">SUM(D$20:D27)/SUMIFS($K$6:$K$728,$I$6:$I$728,A27)</f>
        <v>0.553264604810997</v>
      </c>
      <c r="G27" s="15"/>
      <c r="I27" s="8" t="s">
        <v>14</v>
      </c>
      <c r="J27" s="8" t="s">
        <v>56</v>
      </c>
      <c r="K27" s="9" t="n">
        <v>2</v>
      </c>
      <c r="L27" s="8" t="n">
        <f aca="false">COUNTIFS($I$6:$I$728,I27,$K$6:$K$728,"&gt;"&amp;K27)+1</f>
        <v>12</v>
      </c>
      <c r="M27" s="10" t="n">
        <f aca="false">K27/SUMIFS($K$6:$K$728,$I$6:$I$728,I27)</f>
        <v>0.00865800865800866</v>
      </c>
    </row>
    <row r="28" customFormat="false" ht="15" hidden="false" customHeight="false" outlineLevel="0" collapsed="false">
      <c r="A28" s="14" t="s">
        <v>13</v>
      </c>
      <c r="B28" s="14" t="n">
        <v>9</v>
      </c>
      <c r="C28" s="14" t="s">
        <v>57</v>
      </c>
      <c r="D28" s="6" t="n">
        <f aca="false">SUMIFS($K$6:$K$728,$I$6:$I$728,A28,$J$6:$J$728,C28)</f>
        <v>12</v>
      </c>
      <c r="E28" s="7" t="n">
        <f aca="false">D28/SUMIFS($K$6:$K$728,$I$6:$I$728,A28)</f>
        <v>0.013745704467354</v>
      </c>
      <c r="F28" s="7" t="n">
        <f aca="false">SUM(D$20:D28)/SUMIFS($K$6:$K$728,$I$6:$I$728,A28)</f>
        <v>0.567010309278351</v>
      </c>
      <c r="G28" s="15"/>
      <c r="I28" s="8" t="s">
        <v>14</v>
      </c>
      <c r="J28" s="8" t="s">
        <v>58</v>
      </c>
      <c r="K28" s="9" t="n">
        <v>2</v>
      </c>
      <c r="L28" s="8" t="n">
        <f aca="false">COUNTIFS($I$6:$I$728,I28,$K$6:$K$728,"&gt;"&amp;K28)+1</f>
        <v>12</v>
      </c>
      <c r="M28" s="10" t="n">
        <f aca="false">K28/SUMIFS($K$6:$K$728,$I$6:$I$728,I28)</f>
        <v>0.00865800865800866</v>
      </c>
    </row>
    <row r="29" customFormat="false" ht="15" hidden="false" customHeight="false" outlineLevel="0" collapsed="false">
      <c r="A29" s="14" t="s">
        <v>13</v>
      </c>
      <c r="B29" s="14" t="n">
        <v>10</v>
      </c>
      <c r="C29" s="14" t="s">
        <v>59</v>
      </c>
      <c r="D29" s="6" t="n">
        <f aca="false">SUMIFS($K$6:$K$728,$I$6:$I$728,A29,$J$6:$J$728,C29)</f>
        <v>11</v>
      </c>
      <c r="E29" s="7" t="n">
        <f aca="false">D29/SUMIFS($K$6:$K$728,$I$6:$I$728,A29)</f>
        <v>0.0126002290950745</v>
      </c>
      <c r="F29" s="7" t="n">
        <f aca="false">SUM(D$20:D29)/SUMIFS($K$6:$K$728,$I$6:$I$728,A29)</f>
        <v>0.579610538373425</v>
      </c>
      <c r="G29" s="15"/>
      <c r="I29" s="8" t="s">
        <v>14</v>
      </c>
      <c r="J29" s="8" t="s">
        <v>60</v>
      </c>
      <c r="K29" s="9" t="n">
        <v>2</v>
      </c>
      <c r="L29" s="8" t="n">
        <f aca="false">COUNTIFS($I$6:$I$728,I29,$K$6:$K$728,"&gt;"&amp;K29)+1</f>
        <v>12</v>
      </c>
      <c r="M29" s="10" t="n">
        <f aca="false">K29/SUMIFS($K$6:$K$728,$I$6:$I$728,I29)</f>
        <v>0.00865800865800866</v>
      </c>
    </row>
    <row r="30" customFormat="false" ht="15" hidden="false" customHeight="false" outlineLevel="0" collapsed="false">
      <c r="A30" s="16" t="s">
        <v>16</v>
      </c>
      <c r="B30" s="16" t="n">
        <v>1</v>
      </c>
      <c r="C30" s="16" t="s">
        <v>61</v>
      </c>
      <c r="D30" s="17" t="n">
        <f aca="false">SUMIFS($K$6:$K$728,$I$6:$I$728,A30,$J$6:$J$728,C30)</f>
        <v>143</v>
      </c>
      <c r="E30" s="18" t="n">
        <f aca="false">D30/SUMIFS($K$6:$K$728,$I$6:$I$728,A30)</f>
        <v>0.266294227188082</v>
      </c>
      <c r="F30" s="18" t="n">
        <f aca="false">SUM(D$30:D30)/SUMIFS($K$6:$K$728,$I$6:$I$728,A30)</f>
        <v>0.266294227188082</v>
      </c>
      <c r="G30" s="19"/>
      <c r="I30" s="8" t="s">
        <v>14</v>
      </c>
      <c r="J30" s="8" t="s">
        <v>62</v>
      </c>
      <c r="K30" s="9" t="n">
        <v>1</v>
      </c>
      <c r="L30" s="8" t="n">
        <f aca="false">COUNTIFS($I$6:$I$728,I30,$K$6:$K$728,"&gt;"&amp;K30)+1</f>
        <v>25</v>
      </c>
      <c r="M30" s="10" t="n">
        <f aca="false">K30/SUMIFS($K$6:$K$728,$I$6:$I$728,I30)</f>
        <v>0.00432900432900433</v>
      </c>
    </row>
    <row r="31" customFormat="false" ht="15" hidden="false" customHeight="false" outlineLevel="0" collapsed="false">
      <c r="A31" s="16" t="s">
        <v>16</v>
      </c>
      <c r="B31" s="16" t="n">
        <v>2</v>
      </c>
      <c r="C31" s="16" t="s">
        <v>63</v>
      </c>
      <c r="D31" s="17" t="n">
        <f aca="false">SUMIFS($K$6:$K$728,$I$6:$I$728,A31,$J$6:$J$728,C31)</f>
        <v>42</v>
      </c>
      <c r="E31" s="18" t="n">
        <f aca="false">D31/SUMIFS($K$6:$K$728,$I$6:$I$728,A31)</f>
        <v>0.0782122905027933</v>
      </c>
      <c r="F31" s="18" t="n">
        <f aca="false">SUM(D$30:D31)/SUMIFS($K$6:$K$728,$I$6:$I$728,A31)</f>
        <v>0.344506517690875</v>
      </c>
      <c r="G31" s="19"/>
      <c r="I31" s="8" t="s">
        <v>14</v>
      </c>
      <c r="J31" s="8" t="s">
        <v>64</v>
      </c>
      <c r="K31" s="9" t="n">
        <v>1</v>
      </c>
      <c r="L31" s="8" t="n">
        <f aca="false">COUNTIFS($I$6:$I$728,I31,$K$6:$K$728,"&gt;"&amp;K31)+1</f>
        <v>25</v>
      </c>
      <c r="M31" s="10" t="n">
        <f aca="false">K31/SUMIFS($K$6:$K$728,$I$6:$I$728,I31)</f>
        <v>0.00432900432900433</v>
      </c>
    </row>
    <row r="32" customFormat="false" ht="15" hidden="false" customHeight="false" outlineLevel="0" collapsed="false">
      <c r="A32" s="16" t="s">
        <v>16</v>
      </c>
      <c r="B32" s="16" t="n">
        <v>3</v>
      </c>
      <c r="C32" s="16" t="s">
        <v>65</v>
      </c>
      <c r="D32" s="17" t="n">
        <f aca="false">SUMIFS($K$6:$K$728,$I$6:$I$728,A32,$J$6:$J$728,C32)</f>
        <v>40</v>
      </c>
      <c r="E32" s="18" t="n">
        <f aca="false">D32/SUMIFS($K$6:$K$728,$I$6:$I$728,A32)</f>
        <v>0.074487895716946</v>
      </c>
      <c r="F32" s="18" t="n">
        <f aca="false">SUM(D$30:D32)/SUMIFS($K$6:$K$728,$I$6:$I$728,A32)</f>
        <v>0.418994413407821</v>
      </c>
      <c r="G32" s="19"/>
      <c r="I32" s="8" t="s">
        <v>14</v>
      </c>
      <c r="J32" s="8" t="s">
        <v>66</v>
      </c>
      <c r="K32" s="9" t="n">
        <v>1</v>
      </c>
      <c r="L32" s="8" t="n">
        <f aca="false">COUNTIFS($I$6:$I$728,I32,$K$6:$K$728,"&gt;"&amp;K32)+1</f>
        <v>25</v>
      </c>
      <c r="M32" s="10" t="n">
        <f aca="false">K32/SUMIFS($K$6:$K$728,$I$6:$I$728,I32)</f>
        <v>0.00432900432900433</v>
      </c>
    </row>
    <row r="33" customFormat="false" ht="15" hidden="false" customHeight="false" outlineLevel="0" collapsed="false">
      <c r="A33" s="16" t="s">
        <v>16</v>
      </c>
      <c r="B33" s="16" t="n">
        <v>4</v>
      </c>
      <c r="C33" s="16" t="s">
        <v>67</v>
      </c>
      <c r="D33" s="17" t="n">
        <f aca="false">SUMIFS($K$6:$K$728,$I$6:$I$728,A33,$J$6:$J$728,C33)</f>
        <v>38</v>
      </c>
      <c r="E33" s="18" t="n">
        <f aca="false">D33/SUMIFS($K$6:$K$728,$I$6:$I$728,A33)</f>
        <v>0.0707635009310987</v>
      </c>
      <c r="F33" s="18" t="n">
        <f aca="false">SUM(D$30:D33)/SUMIFS($K$6:$K$728,$I$6:$I$728,A33)</f>
        <v>0.48975791433892</v>
      </c>
      <c r="G33" s="19"/>
      <c r="I33" s="8" t="s">
        <v>14</v>
      </c>
      <c r="J33" s="8" t="s">
        <v>68</v>
      </c>
      <c r="K33" s="9" t="n">
        <v>1</v>
      </c>
      <c r="L33" s="8" t="n">
        <f aca="false">COUNTIFS($I$6:$I$728,I33,$K$6:$K$728,"&gt;"&amp;K33)+1</f>
        <v>25</v>
      </c>
      <c r="M33" s="10" t="n">
        <f aca="false">K33/SUMIFS($K$6:$K$728,$I$6:$I$728,I33)</f>
        <v>0.00432900432900433</v>
      </c>
    </row>
    <row r="34" customFormat="false" ht="15" hidden="false" customHeight="false" outlineLevel="0" collapsed="false">
      <c r="A34" s="16" t="s">
        <v>16</v>
      </c>
      <c r="B34" s="16" t="n">
        <v>5</v>
      </c>
      <c r="C34" s="16" t="s">
        <v>69</v>
      </c>
      <c r="D34" s="17" t="n">
        <f aca="false">SUMIFS($K$6:$K$728,$I$6:$I$728,A34,$J$6:$J$728,C34)</f>
        <v>32</v>
      </c>
      <c r="E34" s="18" t="n">
        <f aca="false">D34/SUMIFS($K$6:$K$728,$I$6:$I$728,A34)</f>
        <v>0.0595903165735568</v>
      </c>
      <c r="F34" s="18" t="n">
        <f aca="false">SUM(D$30:D34)/SUMIFS($K$6:$K$728,$I$6:$I$728,A34)</f>
        <v>0.549348230912477</v>
      </c>
      <c r="G34" s="19"/>
      <c r="I34" s="8" t="s">
        <v>14</v>
      </c>
      <c r="J34" s="8" t="s">
        <v>70</v>
      </c>
      <c r="K34" s="9" t="n">
        <v>1</v>
      </c>
      <c r="L34" s="8" t="n">
        <f aca="false">COUNTIFS($I$6:$I$728,I34,$K$6:$K$728,"&gt;"&amp;K34)+1</f>
        <v>25</v>
      </c>
      <c r="M34" s="10" t="n">
        <f aca="false">K34/SUMIFS($K$6:$K$728,$I$6:$I$728,I34)</f>
        <v>0.00432900432900433</v>
      </c>
    </row>
    <row r="35" customFormat="false" ht="15" hidden="false" customHeight="false" outlineLevel="0" collapsed="false">
      <c r="A35" s="16" t="s">
        <v>16</v>
      </c>
      <c r="B35" s="16" t="n">
        <v>6</v>
      </c>
      <c r="C35" s="16" t="s">
        <v>71</v>
      </c>
      <c r="D35" s="17" t="n">
        <f aca="false">SUMIFS($K$6:$K$728,$I$6:$I$728,A35,$J$6:$J$728,C35)</f>
        <v>20</v>
      </c>
      <c r="E35" s="18" t="n">
        <f aca="false">D35/SUMIFS($K$6:$K$728,$I$6:$I$728,A35)</f>
        <v>0.037243947858473</v>
      </c>
      <c r="F35" s="18" t="n">
        <f aca="false">SUM(D$30:D35)/SUMIFS($K$6:$K$728,$I$6:$I$728,A35)</f>
        <v>0.58659217877095</v>
      </c>
      <c r="G35" s="19"/>
      <c r="I35" s="8" t="s">
        <v>14</v>
      </c>
      <c r="J35" s="8" t="s">
        <v>72</v>
      </c>
      <c r="K35" s="9" t="n">
        <v>1</v>
      </c>
      <c r="L35" s="8" t="n">
        <f aca="false">COUNTIFS($I$6:$I$728,I35,$K$6:$K$728,"&gt;"&amp;K35)+1</f>
        <v>25</v>
      </c>
      <c r="M35" s="10" t="n">
        <f aca="false">K35/SUMIFS($K$6:$K$728,$I$6:$I$728,I35)</f>
        <v>0.00432900432900433</v>
      </c>
    </row>
    <row r="36" customFormat="false" ht="15" hidden="false" customHeight="false" outlineLevel="0" collapsed="false">
      <c r="A36" s="16" t="s">
        <v>16</v>
      </c>
      <c r="B36" s="16" t="n">
        <v>7</v>
      </c>
      <c r="C36" s="16" t="s">
        <v>73</v>
      </c>
      <c r="D36" s="17" t="n">
        <f aca="false">SUMIFS($K$6:$K$728,$I$6:$I$728,A36,$J$6:$J$728,C36)</f>
        <v>13</v>
      </c>
      <c r="E36" s="18" t="n">
        <f aca="false">D36/SUMIFS($K$6:$K$728,$I$6:$I$728,A36)</f>
        <v>0.0242085661080074</v>
      </c>
      <c r="F36" s="18" t="n">
        <f aca="false">SUM(D$30:D36)/SUMIFS($K$6:$K$728,$I$6:$I$728,A36)</f>
        <v>0.610800744878957</v>
      </c>
      <c r="G36" s="19"/>
      <c r="I36" s="8" t="s">
        <v>14</v>
      </c>
      <c r="J36" s="8" t="s">
        <v>74</v>
      </c>
      <c r="K36" s="9" t="n">
        <v>1</v>
      </c>
      <c r="L36" s="8" t="n">
        <f aca="false">COUNTIFS($I$6:$I$728,I36,$K$6:$K$728,"&gt;"&amp;K36)+1</f>
        <v>25</v>
      </c>
      <c r="M36" s="10" t="n">
        <f aca="false">K36/SUMIFS($K$6:$K$728,$I$6:$I$728,I36)</f>
        <v>0.00432900432900433</v>
      </c>
    </row>
    <row r="37" customFormat="false" ht="15" hidden="false" customHeight="false" outlineLevel="0" collapsed="false">
      <c r="A37" s="16" t="s">
        <v>16</v>
      </c>
      <c r="B37" s="16" t="n">
        <v>8</v>
      </c>
      <c r="C37" s="16" t="s">
        <v>75</v>
      </c>
      <c r="D37" s="17" t="n">
        <f aca="false">SUMIFS($K$6:$K$728,$I$6:$I$728,A37,$J$6:$J$728,C37)</f>
        <v>13</v>
      </c>
      <c r="E37" s="18" t="n">
        <f aca="false">D37/SUMIFS($K$6:$K$728,$I$6:$I$728,A37)</f>
        <v>0.0242085661080074</v>
      </c>
      <c r="F37" s="18" t="n">
        <f aca="false">SUM(D$30:D37)/SUMIFS($K$6:$K$728,$I$6:$I$728,A37)</f>
        <v>0.635009310986965</v>
      </c>
      <c r="G37" s="19"/>
      <c r="I37" s="8" t="s">
        <v>14</v>
      </c>
      <c r="J37" s="8" t="s">
        <v>76</v>
      </c>
      <c r="K37" s="9" t="n">
        <v>1</v>
      </c>
      <c r="L37" s="8" t="n">
        <f aca="false">COUNTIFS($I$6:$I$728,I37,$K$6:$K$728,"&gt;"&amp;K37)+1</f>
        <v>25</v>
      </c>
      <c r="M37" s="10" t="n">
        <f aca="false">K37/SUMIFS($K$6:$K$728,$I$6:$I$728,I37)</f>
        <v>0.00432900432900433</v>
      </c>
    </row>
    <row r="38" customFormat="false" ht="15" hidden="false" customHeight="false" outlineLevel="0" collapsed="false">
      <c r="A38" s="16" t="s">
        <v>16</v>
      </c>
      <c r="B38" s="16" t="n">
        <v>9</v>
      </c>
      <c r="C38" s="16" t="s">
        <v>77</v>
      </c>
      <c r="D38" s="17" t="n">
        <f aca="false">SUMIFS($K$6:$K$728,$I$6:$I$728,A38,$J$6:$J$728,C38)</f>
        <v>11</v>
      </c>
      <c r="E38" s="18" t="n">
        <f aca="false">D38/SUMIFS($K$6:$K$728,$I$6:$I$728,A38)</f>
        <v>0.0204841713221601</v>
      </c>
      <c r="F38" s="18" t="n">
        <f aca="false">SUM(D$30:D38)/SUMIFS($K$6:$K$728,$I$6:$I$728,A38)</f>
        <v>0.655493482309125</v>
      </c>
      <c r="G38" s="19"/>
      <c r="I38" s="8" t="s">
        <v>14</v>
      </c>
      <c r="J38" s="8" t="s">
        <v>78</v>
      </c>
      <c r="K38" s="9" t="n">
        <v>1</v>
      </c>
      <c r="L38" s="8" t="n">
        <f aca="false">COUNTIFS($I$6:$I$728,I38,$K$6:$K$728,"&gt;"&amp;K38)+1</f>
        <v>25</v>
      </c>
      <c r="M38" s="10" t="n">
        <f aca="false">K38/SUMIFS($K$6:$K$728,$I$6:$I$728,I38)</f>
        <v>0.00432900432900433</v>
      </c>
    </row>
    <row r="39" customFormat="false" ht="15" hidden="false" customHeight="false" outlineLevel="0" collapsed="false">
      <c r="A39" s="16" t="s">
        <v>16</v>
      </c>
      <c r="B39" s="16" t="n">
        <v>10</v>
      </c>
      <c r="C39" s="16" t="s">
        <v>79</v>
      </c>
      <c r="D39" s="17" t="n">
        <f aca="false">SUMIFS($K$6:$K$728,$I$6:$I$728,A39,$J$6:$J$728,C39)</f>
        <v>11</v>
      </c>
      <c r="E39" s="18" t="n">
        <f aca="false">D39/SUMIFS($K$6:$K$728,$I$6:$I$728,A39)</f>
        <v>0.0204841713221601</v>
      </c>
      <c r="F39" s="18" t="n">
        <f aca="false">SUM(D$30:D39)/SUMIFS($K$6:$K$728,$I$6:$I$728,A39)</f>
        <v>0.675977653631285</v>
      </c>
      <c r="G39" s="19"/>
      <c r="I39" s="8" t="s">
        <v>14</v>
      </c>
      <c r="J39" s="8" t="s">
        <v>80</v>
      </c>
      <c r="K39" s="9" t="n">
        <v>1</v>
      </c>
      <c r="L39" s="8" t="n">
        <f aca="false">COUNTIFS($I$6:$I$728,I39,$K$6:$K$728,"&gt;"&amp;K39)+1</f>
        <v>25</v>
      </c>
      <c r="M39" s="10" t="n">
        <f aca="false">K39/SUMIFS($K$6:$K$728,$I$6:$I$728,I39)</f>
        <v>0.00432900432900433</v>
      </c>
    </row>
    <row r="40" customFormat="false" ht="15" hidden="false" customHeight="false" outlineLevel="0" collapsed="false">
      <c r="A40" s="14" t="s">
        <v>18</v>
      </c>
      <c r="B40" s="14" t="n">
        <v>1</v>
      </c>
      <c r="C40" s="14" t="s">
        <v>81</v>
      </c>
      <c r="D40" s="6" t="n">
        <f aca="false">SUMIFS($K$6:$K$728,$I$6:$I$728,A40,$J$6:$J$728,C40)</f>
        <v>191</v>
      </c>
      <c r="E40" s="7" t="n">
        <f aca="false">D40/SUMIFS($K$6:$K$728,$I$6:$I$728,A40)</f>
        <v>0.521857923497268</v>
      </c>
      <c r="F40" s="7" t="n">
        <f aca="false">SUM(D$40:D40)/SUMIFS($K$6:$K$728,$I$6:$I$728,A40)</f>
        <v>0.521857923497268</v>
      </c>
      <c r="G40" s="15"/>
      <c r="I40" s="8" t="s">
        <v>14</v>
      </c>
      <c r="J40" s="8" t="s">
        <v>82</v>
      </c>
      <c r="K40" s="9" t="n">
        <v>1</v>
      </c>
      <c r="L40" s="8" t="n">
        <f aca="false">COUNTIFS($I$6:$I$728,I40,$K$6:$K$728,"&gt;"&amp;K40)+1</f>
        <v>25</v>
      </c>
      <c r="M40" s="10" t="n">
        <f aca="false">K40/SUMIFS($K$6:$K$728,$I$6:$I$728,I40)</f>
        <v>0.00432900432900433</v>
      </c>
    </row>
    <row r="41" customFormat="false" ht="15" hidden="false" customHeight="false" outlineLevel="0" collapsed="false">
      <c r="A41" s="14" t="s">
        <v>18</v>
      </c>
      <c r="B41" s="14" t="n">
        <v>2</v>
      </c>
      <c r="C41" s="14" t="s">
        <v>83</v>
      </c>
      <c r="D41" s="6" t="n">
        <f aca="false">SUMIFS($K$6:$K$728,$I$6:$I$728,A41,$J$6:$J$728,C41)</f>
        <v>15</v>
      </c>
      <c r="E41" s="7" t="n">
        <f aca="false">D41/SUMIFS($K$6:$K$728,$I$6:$I$728,A41)</f>
        <v>0.040983606557377</v>
      </c>
      <c r="F41" s="7" t="n">
        <f aca="false">SUM(D$40:D41)/SUMIFS($K$6:$K$728,$I$6:$I$728,A41)</f>
        <v>0.562841530054645</v>
      </c>
      <c r="G41" s="15"/>
      <c r="I41" s="8" t="s">
        <v>14</v>
      </c>
      <c r="J41" s="8" t="s">
        <v>84</v>
      </c>
      <c r="K41" s="9" t="n">
        <v>1</v>
      </c>
      <c r="L41" s="8" t="n">
        <f aca="false">COUNTIFS($I$6:$I$728,I41,$K$6:$K$728,"&gt;"&amp;K41)+1</f>
        <v>25</v>
      </c>
      <c r="M41" s="10" t="n">
        <f aca="false">K41/SUMIFS($K$6:$K$728,$I$6:$I$728,I41)</f>
        <v>0.00432900432900433</v>
      </c>
    </row>
    <row r="42" customFormat="false" ht="15" hidden="false" customHeight="false" outlineLevel="0" collapsed="false">
      <c r="A42" s="14" t="s">
        <v>18</v>
      </c>
      <c r="B42" s="14" t="n">
        <v>3</v>
      </c>
      <c r="C42" s="14" t="s">
        <v>85</v>
      </c>
      <c r="D42" s="6" t="n">
        <f aca="false">SUMIFS($K$6:$K$728,$I$6:$I$728,A42,$J$6:$J$728,C42)</f>
        <v>14</v>
      </c>
      <c r="E42" s="7" t="n">
        <f aca="false">D42/SUMIFS($K$6:$K$728,$I$6:$I$728,A42)</f>
        <v>0.0382513661202186</v>
      </c>
      <c r="F42" s="7" t="n">
        <f aca="false">SUM(D$40:D42)/SUMIFS($K$6:$K$728,$I$6:$I$728,A42)</f>
        <v>0.601092896174863</v>
      </c>
      <c r="G42" s="15"/>
      <c r="I42" s="8" t="s">
        <v>14</v>
      </c>
      <c r="J42" s="8" t="s">
        <v>86</v>
      </c>
      <c r="K42" s="9" t="n">
        <v>1</v>
      </c>
      <c r="L42" s="8" t="n">
        <f aca="false">COUNTIFS($I$6:$I$728,I42,$K$6:$K$728,"&gt;"&amp;K42)+1</f>
        <v>25</v>
      </c>
      <c r="M42" s="10" t="n">
        <f aca="false">K42/SUMIFS($K$6:$K$728,$I$6:$I$728,I42)</f>
        <v>0.00432900432900433</v>
      </c>
    </row>
    <row r="43" customFormat="false" ht="15" hidden="false" customHeight="false" outlineLevel="0" collapsed="false">
      <c r="A43" s="14" t="s">
        <v>18</v>
      </c>
      <c r="B43" s="14" t="n">
        <v>4</v>
      </c>
      <c r="C43" s="14" t="s">
        <v>87</v>
      </c>
      <c r="D43" s="6" t="n">
        <f aca="false">SUMIFS($K$6:$K$728,$I$6:$I$728,A43,$J$6:$J$728,C43)</f>
        <v>11</v>
      </c>
      <c r="E43" s="7" t="n">
        <f aca="false">D43/SUMIFS($K$6:$K$728,$I$6:$I$728,A43)</f>
        <v>0.0300546448087432</v>
      </c>
      <c r="F43" s="7" t="n">
        <f aca="false">SUM(D$40:D43)/SUMIFS($K$6:$K$728,$I$6:$I$728,A43)</f>
        <v>0.631147540983607</v>
      </c>
      <c r="G43" s="15"/>
      <c r="I43" s="8" t="s">
        <v>14</v>
      </c>
      <c r="J43" s="8" t="s">
        <v>88</v>
      </c>
      <c r="K43" s="9" t="n">
        <v>1</v>
      </c>
      <c r="L43" s="8" t="n">
        <f aca="false">COUNTIFS($I$6:$I$728,I43,$K$6:$K$728,"&gt;"&amp;K43)+1</f>
        <v>25</v>
      </c>
      <c r="M43" s="10" t="n">
        <f aca="false">K43/SUMIFS($K$6:$K$728,$I$6:$I$728,I43)</f>
        <v>0.00432900432900433</v>
      </c>
    </row>
    <row r="44" customFormat="false" ht="15" hidden="false" customHeight="false" outlineLevel="0" collapsed="false">
      <c r="A44" s="14" t="s">
        <v>18</v>
      </c>
      <c r="B44" s="14" t="n">
        <v>5</v>
      </c>
      <c r="C44" s="14" t="s">
        <v>89</v>
      </c>
      <c r="D44" s="6" t="n">
        <f aca="false">SUMIFS($K$6:$K$728,$I$6:$I$728,A44,$J$6:$J$728,C44)</f>
        <v>6</v>
      </c>
      <c r="E44" s="7" t="n">
        <f aca="false">D44/SUMIFS($K$6:$K$728,$I$6:$I$728,A44)</f>
        <v>0.0163934426229508</v>
      </c>
      <c r="F44" s="7" t="n">
        <f aca="false">SUM(D$40:D44)/SUMIFS($K$6:$K$728,$I$6:$I$728,A44)</f>
        <v>0.647540983606557</v>
      </c>
      <c r="G44" s="15"/>
      <c r="I44" s="8" t="s">
        <v>14</v>
      </c>
      <c r="J44" s="8" t="s">
        <v>90</v>
      </c>
      <c r="K44" s="9" t="n">
        <v>1</v>
      </c>
      <c r="L44" s="8" t="n">
        <f aca="false">COUNTIFS($I$6:$I$728,I44,$K$6:$K$728,"&gt;"&amp;K44)+1</f>
        <v>25</v>
      </c>
      <c r="M44" s="10" t="n">
        <f aca="false">K44/SUMIFS($K$6:$K$728,$I$6:$I$728,I44)</f>
        <v>0.00432900432900433</v>
      </c>
    </row>
    <row r="45" customFormat="false" ht="15" hidden="false" customHeight="false" outlineLevel="0" collapsed="false">
      <c r="A45" s="14" t="s">
        <v>18</v>
      </c>
      <c r="B45" s="14" t="n">
        <v>6</v>
      </c>
      <c r="C45" s="14" t="s">
        <v>91</v>
      </c>
      <c r="D45" s="6" t="n">
        <f aca="false">SUMIFS($K$6:$K$728,$I$6:$I$728,A45,$J$6:$J$728,C45)</f>
        <v>6</v>
      </c>
      <c r="E45" s="7" t="n">
        <f aca="false">D45/SUMIFS($K$6:$K$728,$I$6:$I$728,A45)</f>
        <v>0.0163934426229508</v>
      </c>
      <c r="F45" s="7" t="n">
        <f aca="false">SUM(D$40:D45)/SUMIFS($K$6:$K$728,$I$6:$I$728,A45)</f>
        <v>0.663934426229508</v>
      </c>
      <c r="G45" s="15"/>
      <c r="I45" s="8" t="s">
        <v>14</v>
      </c>
      <c r="J45" s="8" t="s">
        <v>92</v>
      </c>
      <c r="K45" s="9" t="n">
        <v>1</v>
      </c>
      <c r="L45" s="8" t="n">
        <f aca="false">COUNTIFS($I$6:$I$728,I45,$K$6:$K$728,"&gt;"&amp;K45)+1</f>
        <v>25</v>
      </c>
      <c r="M45" s="10" t="n">
        <f aca="false">K45/SUMIFS($K$6:$K$728,$I$6:$I$728,I45)</f>
        <v>0.00432900432900433</v>
      </c>
    </row>
    <row r="46" customFormat="false" ht="15" hidden="false" customHeight="false" outlineLevel="0" collapsed="false">
      <c r="A46" s="14" t="s">
        <v>18</v>
      </c>
      <c r="B46" s="14" t="n">
        <v>7</v>
      </c>
      <c r="C46" s="14" t="s">
        <v>93</v>
      </c>
      <c r="D46" s="6" t="n">
        <f aca="false">SUMIFS($K$6:$K$728,$I$6:$I$728,A46,$J$6:$J$728,C46)</f>
        <v>6</v>
      </c>
      <c r="E46" s="7" t="n">
        <f aca="false">D46/SUMIFS($K$6:$K$728,$I$6:$I$728,A46)</f>
        <v>0.0163934426229508</v>
      </c>
      <c r="F46" s="7" t="n">
        <f aca="false">SUM(D$40:D46)/SUMIFS($K$6:$K$728,$I$6:$I$728,A46)</f>
        <v>0.680327868852459</v>
      </c>
      <c r="G46" s="15"/>
      <c r="I46" s="8" t="s">
        <v>14</v>
      </c>
      <c r="J46" s="8" t="s">
        <v>94</v>
      </c>
      <c r="K46" s="9" t="n">
        <v>1</v>
      </c>
      <c r="L46" s="8" t="n">
        <f aca="false">COUNTIFS($I$6:$I$728,I46,$K$6:$K$728,"&gt;"&amp;K46)+1</f>
        <v>25</v>
      </c>
      <c r="M46" s="10" t="n">
        <f aca="false">K46/SUMIFS($K$6:$K$728,$I$6:$I$728,I46)</f>
        <v>0.00432900432900433</v>
      </c>
    </row>
    <row r="47" customFormat="false" ht="15" hidden="false" customHeight="false" outlineLevel="0" collapsed="false">
      <c r="A47" s="14" t="s">
        <v>18</v>
      </c>
      <c r="B47" s="14" t="n">
        <v>8</v>
      </c>
      <c r="C47" s="14" t="s">
        <v>95</v>
      </c>
      <c r="D47" s="6" t="n">
        <f aca="false">SUMIFS($K$6:$K$728,$I$6:$I$728,A47,$J$6:$J$728,C47)</f>
        <v>6</v>
      </c>
      <c r="E47" s="7" t="n">
        <f aca="false">D47/SUMIFS($K$6:$K$728,$I$6:$I$728,A47)</f>
        <v>0.0163934426229508</v>
      </c>
      <c r="F47" s="7" t="n">
        <f aca="false">SUM(D$40:D47)/SUMIFS($K$6:$K$728,$I$6:$I$728,A47)</f>
        <v>0.69672131147541</v>
      </c>
      <c r="G47" s="15"/>
      <c r="I47" s="8" t="s">
        <v>14</v>
      </c>
      <c r="J47" s="8" t="s">
        <v>96</v>
      </c>
      <c r="K47" s="9" t="n">
        <v>1</v>
      </c>
      <c r="L47" s="8" t="n">
        <f aca="false">COUNTIFS($I$6:$I$728,I47,$K$6:$K$728,"&gt;"&amp;K47)+1</f>
        <v>25</v>
      </c>
      <c r="M47" s="10" t="n">
        <f aca="false">K47/SUMIFS($K$6:$K$728,$I$6:$I$728,I47)</f>
        <v>0.00432900432900433</v>
      </c>
    </row>
    <row r="48" customFormat="false" ht="15" hidden="false" customHeight="false" outlineLevel="0" collapsed="false">
      <c r="A48" s="14" t="s">
        <v>18</v>
      </c>
      <c r="B48" s="14" t="n">
        <v>9</v>
      </c>
      <c r="C48" s="14" t="s">
        <v>97</v>
      </c>
      <c r="D48" s="6" t="n">
        <f aca="false">SUMIFS($K$6:$K$728,$I$6:$I$728,A48,$J$6:$J$728,C48)</f>
        <v>5</v>
      </c>
      <c r="E48" s="7" t="n">
        <f aca="false">D48/SUMIFS($K$6:$K$728,$I$6:$I$728,A48)</f>
        <v>0.0136612021857924</v>
      </c>
      <c r="F48" s="7" t="n">
        <f aca="false">SUM(D$40:D48)/SUMIFS($K$6:$K$728,$I$6:$I$728,A48)</f>
        <v>0.710382513661202</v>
      </c>
      <c r="G48" s="15"/>
      <c r="I48" s="8" t="s">
        <v>14</v>
      </c>
      <c r="J48" s="8" t="s">
        <v>98</v>
      </c>
      <c r="K48" s="9" t="n">
        <v>1</v>
      </c>
      <c r="L48" s="8" t="n">
        <f aca="false">COUNTIFS($I$6:$I$728,I48,$K$6:$K$728,"&gt;"&amp;K48)+1</f>
        <v>25</v>
      </c>
      <c r="M48" s="10" t="n">
        <f aca="false">K48/SUMIFS($K$6:$K$728,$I$6:$I$728,I48)</f>
        <v>0.00432900432900433</v>
      </c>
    </row>
    <row r="49" customFormat="false" ht="15" hidden="false" customHeight="false" outlineLevel="0" collapsed="false">
      <c r="A49" s="14" t="s">
        <v>18</v>
      </c>
      <c r="B49" s="14" t="n">
        <v>10</v>
      </c>
      <c r="C49" s="14" t="s">
        <v>99</v>
      </c>
      <c r="D49" s="6" t="n">
        <f aca="false">SUMIFS($K$6:$K$728,$I$6:$I$728,A49,$J$6:$J$728,C49)</f>
        <v>4</v>
      </c>
      <c r="E49" s="7" t="n">
        <f aca="false">D49/SUMIFS($K$6:$K$728,$I$6:$I$728,A49)</f>
        <v>0.0109289617486339</v>
      </c>
      <c r="F49" s="7" t="n">
        <f aca="false">SUM(D$40:D49)/SUMIFS($K$6:$K$728,$I$6:$I$728,A49)</f>
        <v>0.721311475409836</v>
      </c>
      <c r="G49" s="15"/>
      <c r="I49" s="8" t="s">
        <v>14</v>
      </c>
      <c r="J49" s="8" t="s">
        <v>100</v>
      </c>
      <c r="K49" s="9" t="n">
        <v>1</v>
      </c>
      <c r="L49" s="8" t="n">
        <f aca="false">COUNTIFS($I$6:$I$728,I49,$K$6:$K$728,"&gt;"&amp;K49)+1</f>
        <v>25</v>
      </c>
      <c r="M49" s="10" t="n">
        <f aca="false">K49/SUMIFS($K$6:$K$728,$I$6:$I$728,I49)</f>
        <v>0.00432900432900433</v>
      </c>
    </row>
    <row r="50" customFormat="false" ht="15" hidden="false" customHeight="false" outlineLevel="0" collapsed="false">
      <c r="A50" s="16" t="s">
        <v>20</v>
      </c>
      <c r="B50" s="16" t="n">
        <v>1</v>
      </c>
      <c r="C50" s="16" t="s">
        <v>101</v>
      </c>
      <c r="D50" s="17" t="n">
        <f aca="false">SUMIFS($K$6:$K$728,$I$6:$I$728,A50,$J$6:$J$728,C50)</f>
        <v>69</v>
      </c>
      <c r="E50" s="18" t="n">
        <f aca="false">D50/SUMIFS($K$6:$K$728,$I$6:$I$728,A50)</f>
        <v>0.216300940438871</v>
      </c>
      <c r="F50" s="18" t="n">
        <f aca="false">SUM(D$50:D50)/SUMIFS($K$6:$K$728,$I$6:$I$728,A50)</f>
        <v>0.216300940438871</v>
      </c>
      <c r="G50" s="19"/>
      <c r="I50" s="8" t="s">
        <v>14</v>
      </c>
      <c r="J50" s="8" t="s">
        <v>102</v>
      </c>
      <c r="K50" s="9" t="n">
        <v>1</v>
      </c>
      <c r="L50" s="8" t="n">
        <f aca="false">COUNTIFS($I$6:$I$728,I50,$K$6:$K$728,"&gt;"&amp;K50)+1</f>
        <v>25</v>
      </c>
      <c r="M50" s="10" t="n">
        <f aca="false">K50/SUMIFS($K$6:$K$728,$I$6:$I$728,I50)</f>
        <v>0.00432900432900433</v>
      </c>
    </row>
    <row r="51" customFormat="false" ht="15" hidden="false" customHeight="false" outlineLevel="0" collapsed="false">
      <c r="A51" s="16" t="s">
        <v>20</v>
      </c>
      <c r="B51" s="16" t="n">
        <v>2</v>
      </c>
      <c r="C51" s="16" t="s">
        <v>103</v>
      </c>
      <c r="D51" s="17" t="n">
        <f aca="false">SUMIFS($K$6:$K$728,$I$6:$I$728,A51,$J$6:$J$728,C51)</f>
        <v>21</v>
      </c>
      <c r="E51" s="18" t="n">
        <f aca="false">D51/SUMIFS($K$6:$K$728,$I$6:$I$728,A51)</f>
        <v>0.0658307210031348</v>
      </c>
      <c r="F51" s="18" t="n">
        <f aca="false">SUM(D$50:D51)/SUMIFS($K$6:$K$728,$I$6:$I$728,A51)</f>
        <v>0.282131661442006</v>
      </c>
      <c r="G51" s="19"/>
      <c r="I51" s="8" t="s">
        <v>14</v>
      </c>
      <c r="J51" s="8" t="s">
        <v>104</v>
      </c>
      <c r="K51" s="9" t="n">
        <v>1</v>
      </c>
      <c r="L51" s="8" t="n">
        <f aca="false">COUNTIFS($I$6:$I$728,I51,$K$6:$K$728,"&gt;"&amp;K51)+1</f>
        <v>25</v>
      </c>
      <c r="M51" s="10" t="n">
        <f aca="false">K51/SUMIFS($K$6:$K$728,$I$6:$I$728,I51)</f>
        <v>0.00432900432900433</v>
      </c>
    </row>
    <row r="52" customFormat="false" ht="15" hidden="false" customHeight="false" outlineLevel="0" collapsed="false">
      <c r="A52" s="16" t="s">
        <v>20</v>
      </c>
      <c r="B52" s="16" t="n">
        <v>3</v>
      </c>
      <c r="C52" s="16" t="s">
        <v>105</v>
      </c>
      <c r="D52" s="17" t="n">
        <f aca="false">SUMIFS($K$6:$K$728,$I$6:$I$728,A52,$J$6:$J$728,C52)</f>
        <v>19</v>
      </c>
      <c r="E52" s="18" t="n">
        <f aca="false">D52/SUMIFS($K$6:$K$728,$I$6:$I$728,A52)</f>
        <v>0.0595611285266458</v>
      </c>
      <c r="F52" s="18" t="n">
        <f aca="false">SUM(D$50:D52)/SUMIFS($K$6:$K$728,$I$6:$I$728,A52)</f>
        <v>0.341692789968652</v>
      </c>
      <c r="G52" s="19"/>
      <c r="I52" s="8" t="s">
        <v>14</v>
      </c>
      <c r="J52" s="8" t="s">
        <v>106</v>
      </c>
      <c r="K52" s="9" t="n">
        <v>1</v>
      </c>
      <c r="L52" s="8" t="n">
        <f aca="false">COUNTIFS($I$6:$I$728,I52,$K$6:$K$728,"&gt;"&amp;K52)+1</f>
        <v>25</v>
      </c>
      <c r="M52" s="10" t="n">
        <f aca="false">K52/SUMIFS($K$6:$K$728,$I$6:$I$728,I52)</f>
        <v>0.00432900432900433</v>
      </c>
    </row>
    <row r="53" customFormat="false" ht="15" hidden="false" customHeight="false" outlineLevel="0" collapsed="false">
      <c r="A53" s="16" t="s">
        <v>20</v>
      </c>
      <c r="B53" s="16" t="n">
        <v>4</v>
      </c>
      <c r="C53" s="16" t="s">
        <v>107</v>
      </c>
      <c r="D53" s="17" t="n">
        <f aca="false">SUMIFS($K$6:$K$728,$I$6:$I$728,A53,$J$6:$J$728,C53)</f>
        <v>8</v>
      </c>
      <c r="E53" s="18" t="n">
        <f aca="false">D53/SUMIFS($K$6:$K$728,$I$6:$I$728,A53)</f>
        <v>0.0250783699059561</v>
      </c>
      <c r="F53" s="18" t="n">
        <f aca="false">SUM(D$50:D53)/SUMIFS($K$6:$K$728,$I$6:$I$728,A53)</f>
        <v>0.366771159874608</v>
      </c>
      <c r="G53" s="19"/>
      <c r="I53" s="8" t="s">
        <v>14</v>
      </c>
      <c r="J53" s="8" t="s">
        <v>108</v>
      </c>
      <c r="K53" s="9" t="n">
        <v>1</v>
      </c>
      <c r="L53" s="8" t="n">
        <f aca="false">COUNTIFS($I$6:$I$728,I53,$K$6:$K$728,"&gt;"&amp;K53)+1</f>
        <v>25</v>
      </c>
      <c r="M53" s="10" t="n">
        <f aca="false">K53/SUMIFS($K$6:$K$728,$I$6:$I$728,I53)</f>
        <v>0.00432900432900433</v>
      </c>
    </row>
    <row r="54" customFormat="false" ht="15" hidden="false" customHeight="false" outlineLevel="0" collapsed="false">
      <c r="A54" s="16" t="s">
        <v>20</v>
      </c>
      <c r="B54" s="16" t="n">
        <v>5</v>
      </c>
      <c r="C54" s="16" t="s">
        <v>109</v>
      </c>
      <c r="D54" s="17" t="n">
        <f aca="false">SUMIFS($K$6:$K$728,$I$6:$I$728,A54,$J$6:$J$728,C54)</f>
        <v>7</v>
      </c>
      <c r="E54" s="18" t="n">
        <f aca="false">D54/SUMIFS($K$6:$K$728,$I$6:$I$728,A54)</f>
        <v>0.0219435736677116</v>
      </c>
      <c r="F54" s="18" t="n">
        <f aca="false">SUM(D$50:D54)/SUMIFS($K$6:$K$728,$I$6:$I$728,A54)</f>
        <v>0.38871473354232</v>
      </c>
      <c r="G54" s="19"/>
      <c r="I54" s="8" t="s">
        <v>14</v>
      </c>
      <c r="J54" s="8" t="s">
        <v>110</v>
      </c>
      <c r="K54" s="9" t="n">
        <v>1</v>
      </c>
      <c r="L54" s="8" t="n">
        <f aca="false">COUNTIFS($I$6:$I$728,I54,$K$6:$K$728,"&gt;"&amp;K54)+1</f>
        <v>25</v>
      </c>
      <c r="M54" s="10" t="n">
        <f aca="false">K54/SUMIFS($K$6:$K$728,$I$6:$I$728,I54)</f>
        <v>0.00432900432900433</v>
      </c>
    </row>
    <row r="55" customFormat="false" ht="15" hidden="false" customHeight="false" outlineLevel="0" collapsed="false">
      <c r="A55" s="16" t="s">
        <v>20</v>
      </c>
      <c r="B55" s="16" t="n">
        <v>6</v>
      </c>
      <c r="C55" s="16" t="s">
        <v>111</v>
      </c>
      <c r="D55" s="17" t="n">
        <f aca="false">SUMIFS($K$6:$K$728,$I$6:$I$728,A55,$J$6:$J$728,C55)</f>
        <v>6</v>
      </c>
      <c r="E55" s="18" t="n">
        <f aca="false">D55/SUMIFS($K$6:$K$728,$I$6:$I$728,A55)</f>
        <v>0.0188087774294671</v>
      </c>
      <c r="F55" s="18" t="n">
        <f aca="false">SUM(D$50:D55)/SUMIFS($K$6:$K$728,$I$6:$I$728,A55)</f>
        <v>0.407523510971787</v>
      </c>
      <c r="G55" s="19"/>
      <c r="I55" s="8" t="s">
        <v>14</v>
      </c>
      <c r="J55" s="8" t="s">
        <v>112</v>
      </c>
      <c r="K55" s="9" t="n">
        <v>1</v>
      </c>
      <c r="L55" s="8" t="n">
        <f aca="false">COUNTIFS($I$6:$I$728,I55,$K$6:$K$728,"&gt;"&amp;K55)+1</f>
        <v>25</v>
      </c>
      <c r="M55" s="10" t="n">
        <f aca="false">K55/SUMIFS($K$6:$K$728,$I$6:$I$728,I55)</f>
        <v>0.00432900432900433</v>
      </c>
    </row>
    <row r="56" customFormat="false" ht="15" hidden="false" customHeight="false" outlineLevel="0" collapsed="false">
      <c r="A56" s="16" t="s">
        <v>20</v>
      </c>
      <c r="B56" s="16" t="n">
        <v>7</v>
      </c>
      <c r="C56" s="16" t="s">
        <v>113</v>
      </c>
      <c r="D56" s="17" t="n">
        <f aca="false">SUMIFS($K$6:$K$728,$I$6:$I$728,A56,$J$6:$J$728,C56)</f>
        <v>6</v>
      </c>
      <c r="E56" s="18" t="n">
        <f aca="false">D56/SUMIFS($K$6:$K$728,$I$6:$I$728,A56)</f>
        <v>0.0188087774294671</v>
      </c>
      <c r="F56" s="18" t="n">
        <f aca="false">SUM(D$50:D56)/SUMIFS($K$6:$K$728,$I$6:$I$728,A56)</f>
        <v>0.426332288401254</v>
      </c>
      <c r="G56" s="19"/>
      <c r="I56" s="8" t="s">
        <v>14</v>
      </c>
      <c r="J56" s="8" t="s">
        <v>114</v>
      </c>
      <c r="K56" s="9" t="n">
        <v>1</v>
      </c>
      <c r="L56" s="8" t="n">
        <f aca="false">COUNTIFS($I$6:$I$728,I56,$K$6:$K$728,"&gt;"&amp;K56)+1</f>
        <v>25</v>
      </c>
      <c r="M56" s="10" t="n">
        <f aca="false">K56/SUMIFS($K$6:$K$728,$I$6:$I$728,I56)</f>
        <v>0.00432900432900433</v>
      </c>
    </row>
    <row r="57" customFormat="false" ht="15" hidden="false" customHeight="false" outlineLevel="0" collapsed="false">
      <c r="A57" s="16" t="s">
        <v>20</v>
      </c>
      <c r="B57" s="16" t="n">
        <v>8</v>
      </c>
      <c r="C57" s="16" t="s">
        <v>115</v>
      </c>
      <c r="D57" s="17" t="n">
        <f aca="false">SUMIFS($K$6:$K$728,$I$6:$I$728,A57,$J$6:$J$728,C57)</f>
        <v>6</v>
      </c>
      <c r="E57" s="18" t="n">
        <f aca="false">D57/SUMIFS($K$6:$K$728,$I$6:$I$728,A57)</f>
        <v>0.0188087774294671</v>
      </c>
      <c r="F57" s="18" t="n">
        <f aca="false">SUM(D$50:D57)/SUMIFS($K$6:$K$728,$I$6:$I$728,A57)</f>
        <v>0.445141065830721</v>
      </c>
      <c r="G57" s="19"/>
      <c r="I57" s="8" t="s">
        <v>14</v>
      </c>
      <c r="J57" s="8" t="s">
        <v>116</v>
      </c>
      <c r="K57" s="9" t="n">
        <v>1</v>
      </c>
      <c r="L57" s="8" t="n">
        <f aca="false">COUNTIFS($I$6:$I$728,I57,$K$6:$K$728,"&gt;"&amp;K57)+1</f>
        <v>25</v>
      </c>
      <c r="M57" s="10" t="n">
        <f aca="false">K57/SUMIFS($K$6:$K$728,$I$6:$I$728,I57)</f>
        <v>0.00432900432900433</v>
      </c>
    </row>
    <row r="58" customFormat="false" ht="15" hidden="false" customHeight="false" outlineLevel="0" collapsed="false">
      <c r="A58" s="16" t="s">
        <v>20</v>
      </c>
      <c r="B58" s="16" t="n">
        <v>9</v>
      </c>
      <c r="C58" s="16" t="s">
        <v>117</v>
      </c>
      <c r="D58" s="17" t="n">
        <f aca="false">SUMIFS($K$6:$K$728,$I$6:$I$728,A58,$J$6:$J$728,C58)</f>
        <v>6</v>
      </c>
      <c r="E58" s="18" t="n">
        <f aca="false">D58/SUMIFS($K$6:$K$728,$I$6:$I$728,A58)</f>
        <v>0.0188087774294671</v>
      </c>
      <c r="F58" s="18" t="n">
        <f aca="false">SUM(D$50:D58)/SUMIFS($K$6:$K$728,$I$6:$I$728,A58)</f>
        <v>0.463949843260188</v>
      </c>
      <c r="G58" s="19"/>
      <c r="I58" s="8" t="s">
        <v>14</v>
      </c>
      <c r="J58" s="8" t="s">
        <v>118</v>
      </c>
      <c r="K58" s="9" t="n">
        <v>1</v>
      </c>
      <c r="L58" s="8" t="n">
        <f aca="false">COUNTIFS($I$6:$I$728,I58,$K$6:$K$728,"&gt;"&amp;K58)+1</f>
        <v>25</v>
      </c>
      <c r="M58" s="10" t="n">
        <f aca="false">K58/SUMIFS($K$6:$K$728,$I$6:$I$728,I58)</f>
        <v>0.00432900432900433</v>
      </c>
    </row>
    <row r="59" customFormat="false" ht="15" hidden="false" customHeight="false" outlineLevel="0" collapsed="false">
      <c r="A59" s="16" t="s">
        <v>20</v>
      </c>
      <c r="B59" s="16" t="n">
        <v>10</v>
      </c>
      <c r="C59" s="16" t="s">
        <v>119</v>
      </c>
      <c r="D59" s="17" t="n">
        <f aca="false">SUMIFS($K$6:$K$728,$I$6:$I$728,A59,$J$6:$J$728,C59)</f>
        <v>6</v>
      </c>
      <c r="E59" s="18" t="n">
        <f aca="false">D59/SUMIFS($K$6:$K$728,$I$6:$I$728,A59)</f>
        <v>0.0188087774294671</v>
      </c>
      <c r="F59" s="18" t="n">
        <f aca="false">SUM(D$50:D59)/SUMIFS($K$6:$K$728,$I$6:$I$728,A59)</f>
        <v>0.482758620689655</v>
      </c>
      <c r="G59" s="19"/>
      <c r="I59" s="8" t="s">
        <v>14</v>
      </c>
      <c r="J59" s="8" t="s">
        <v>120</v>
      </c>
      <c r="K59" s="9" t="n">
        <v>1</v>
      </c>
      <c r="L59" s="8" t="n">
        <f aca="false">COUNTIFS($I$6:$I$728,I59,$K$6:$K$728,"&gt;"&amp;K59)+1</f>
        <v>25</v>
      </c>
      <c r="M59" s="10" t="n">
        <f aca="false">K59/SUMIFS($K$6:$K$728,$I$6:$I$728,I59)</f>
        <v>0.00432900432900433</v>
      </c>
    </row>
    <row r="60" customFormat="false" ht="15" hidden="false" customHeight="false" outlineLevel="0" collapsed="false">
      <c r="A60" s="14" t="s">
        <v>14</v>
      </c>
      <c r="B60" s="14" t="n">
        <v>1</v>
      </c>
      <c r="C60" s="14" t="s">
        <v>15</v>
      </c>
      <c r="D60" s="6" t="n">
        <f aca="false">SUMIFS($K$6:$K$728,$I$6:$I$728,A60,$J$6:$J$728,C60)</f>
        <v>114</v>
      </c>
      <c r="E60" s="7" t="n">
        <f aca="false">D60/SUMIFS($K$6:$K$728,$I$6:$I$728,A60)</f>
        <v>0.493506493506494</v>
      </c>
      <c r="F60" s="7" t="n">
        <f aca="false">SUM(D$60:D60)/SUMIFS($K$6:$K$728,$I$6:$I$728,A60)</f>
        <v>0.493506493506494</v>
      </c>
      <c r="G60" s="15"/>
      <c r="I60" s="8" t="s">
        <v>14</v>
      </c>
      <c r="J60" s="8" t="s">
        <v>121</v>
      </c>
      <c r="K60" s="9" t="n">
        <v>1</v>
      </c>
      <c r="L60" s="8" t="n">
        <f aca="false">COUNTIFS($I$6:$I$728,I60,$K$6:$K$728,"&gt;"&amp;K60)+1</f>
        <v>25</v>
      </c>
      <c r="M60" s="10" t="n">
        <f aca="false">K60/SUMIFS($K$6:$K$728,$I$6:$I$728,I60)</f>
        <v>0.00432900432900433</v>
      </c>
    </row>
    <row r="61" customFormat="false" ht="15" hidden="false" customHeight="false" outlineLevel="0" collapsed="false">
      <c r="A61" s="14" t="s">
        <v>14</v>
      </c>
      <c r="B61" s="14" t="n">
        <v>2</v>
      </c>
      <c r="C61" s="14" t="s">
        <v>17</v>
      </c>
      <c r="D61" s="6" t="n">
        <f aca="false">SUMIFS($K$6:$K$728,$I$6:$I$728,A61,$J$6:$J$728,C61)</f>
        <v>26</v>
      </c>
      <c r="E61" s="7" t="n">
        <f aca="false">D61/SUMIFS($K$6:$K$728,$I$6:$I$728,A61)</f>
        <v>0.112554112554113</v>
      </c>
      <c r="F61" s="7" t="n">
        <f aca="false">SUM(D$60:D61)/SUMIFS($K$6:$K$728,$I$6:$I$728,A61)</f>
        <v>0.606060606060606</v>
      </c>
      <c r="G61" s="15"/>
      <c r="I61" s="8" t="s">
        <v>13</v>
      </c>
      <c r="J61" s="8" t="s">
        <v>41</v>
      </c>
      <c r="K61" s="9" t="n">
        <v>298</v>
      </c>
      <c r="L61" s="8" t="n">
        <f aca="false">COUNTIFS($I$6:$I$728,I61,$K$6:$K$728,"&gt;"&amp;K61)+1</f>
        <v>1</v>
      </c>
      <c r="M61" s="10" t="n">
        <f aca="false">K61/SUMIFS($K$6:$K$728,$I$6:$I$728,I61)</f>
        <v>0.34135166093929</v>
      </c>
    </row>
    <row r="62" customFormat="false" ht="15" hidden="false" customHeight="false" outlineLevel="0" collapsed="false">
      <c r="A62" s="14" t="s">
        <v>14</v>
      </c>
      <c r="B62" s="14" t="n">
        <v>3</v>
      </c>
      <c r="C62" s="14" t="s">
        <v>19</v>
      </c>
      <c r="D62" s="6" t="n">
        <f aca="false">SUMIFS($K$6:$K$728,$I$6:$I$728,A62,$J$6:$J$728,C62)</f>
        <v>6</v>
      </c>
      <c r="E62" s="7" t="n">
        <f aca="false">D62/SUMIFS($K$6:$K$728,$I$6:$I$728,A62)</f>
        <v>0.025974025974026</v>
      </c>
      <c r="F62" s="7" t="n">
        <f aca="false">SUM(D$60:D62)/SUMIFS($K$6:$K$728,$I$6:$I$728,A62)</f>
        <v>0.632034632034632</v>
      </c>
      <c r="G62" s="15"/>
      <c r="I62" s="8" t="s">
        <v>13</v>
      </c>
      <c r="J62" s="8" t="s">
        <v>43</v>
      </c>
      <c r="K62" s="9" t="n">
        <v>42</v>
      </c>
      <c r="L62" s="8" t="n">
        <f aca="false">COUNTIFS($I$6:$I$728,I62,$K$6:$K$728,"&gt;"&amp;K62)+1</f>
        <v>2</v>
      </c>
      <c r="M62" s="10" t="n">
        <f aca="false">K62/SUMIFS($K$6:$K$728,$I$6:$I$728,I62)</f>
        <v>0.0481099656357388</v>
      </c>
    </row>
    <row r="63" customFormat="false" ht="15" hidden="false" customHeight="false" outlineLevel="0" collapsed="false">
      <c r="A63" s="14" t="s">
        <v>14</v>
      </c>
      <c r="B63" s="14" t="n">
        <v>4</v>
      </c>
      <c r="C63" s="14" t="s">
        <v>21</v>
      </c>
      <c r="D63" s="6" t="n">
        <f aca="false">SUMIFS($K$6:$K$728,$I$6:$I$728,A63,$J$6:$J$728,C63)</f>
        <v>6</v>
      </c>
      <c r="E63" s="7" t="n">
        <f aca="false">D63/SUMIFS($K$6:$K$728,$I$6:$I$728,A63)</f>
        <v>0.025974025974026</v>
      </c>
      <c r="F63" s="7" t="n">
        <f aca="false">SUM(D$60:D63)/SUMIFS($K$6:$K$728,$I$6:$I$728,A63)</f>
        <v>0.658008658008658</v>
      </c>
      <c r="G63" s="15"/>
      <c r="I63" s="8" t="s">
        <v>13</v>
      </c>
      <c r="J63" s="8" t="s">
        <v>45</v>
      </c>
      <c r="K63" s="9" t="n">
        <v>39</v>
      </c>
      <c r="L63" s="8" t="n">
        <f aca="false">COUNTIFS($I$6:$I$728,I63,$K$6:$K$728,"&gt;"&amp;K63)+1</f>
        <v>3</v>
      </c>
      <c r="M63" s="10" t="n">
        <f aca="false">K63/SUMIFS($K$6:$K$728,$I$6:$I$728,I63)</f>
        <v>0.0446735395189003</v>
      </c>
    </row>
    <row r="64" customFormat="false" ht="15" hidden="false" customHeight="false" outlineLevel="0" collapsed="false">
      <c r="A64" s="14" t="s">
        <v>14</v>
      </c>
      <c r="B64" s="14" t="n">
        <v>5</v>
      </c>
      <c r="C64" s="14" t="s">
        <v>22</v>
      </c>
      <c r="D64" s="6" t="n">
        <f aca="false">SUMIFS($K$6:$K$728,$I$6:$I$728,A64,$J$6:$J$728,C64)</f>
        <v>4</v>
      </c>
      <c r="E64" s="7" t="n">
        <f aca="false">D64/SUMIFS($K$6:$K$728,$I$6:$I$728,A64)</f>
        <v>0.0173160173160173</v>
      </c>
      <c r="F64" s="7" t="n">
        <f aca="false">SUM(D$60:D64)/SUMIFS($K$6:$K$728,$I$6:$I$728,A64)</f>
        <v>0.675324675324675</v>
      </c>
      <c r="G64" s="15"/>
      <c r="I64" s="8" t="s">
        <v>13</v>
      </c>
      <c r="J64" s="8" t="s">
        <v>47</v>
      </c>
      <c r="K64" s="9" t="n">
        <v>30</v>
      </c>
      <c r="L64" s="8" t="n">
        <f aca="false">COUNTIFS($I$6:$I$728,I64,$K$6:$K$728,"&gt;"&amp;K64)+1</f>
        <v>4</v>
      </c>
      <c r="M64" s="10" t="n">
        <f aca="false">K64/SUMIFS($K$6:$K$728,$I$6:$I$728,I64)</f>
        <v>0.0343642611683849</v>
      </c>
    </row>
    <row r="65" customFormat="false" ht="15" hidden="false" customHeight="false" outlineLevel="0" collapsed="false">
      <c r="A65" s="14" t="s">
        <v>14</v>
      </c>
      <c r="B65" s="14" t="n">
        <v>6</v>
      </c>
      <c r="C65" s="14" t="s">
        <v>24</v>
      </c>
      <c r="D65" s="6" t="n">
        <f aca="false">SUMIFS($K$6:$K$728,$I$6:$I$728,A65,$J$6:$J$728,C65)</f>
        <v>3</v>
      </c>
      <c r="E65" s="7" t="n">
        <f aca="false">D65/SUMIFS($K$6:$K$728,$I$6:$I$728,A65)</f>
        <v>0.012987012987013</v>
      </c>
      <c r="F65" s="7" t="n">
        <f aca="false">SUM(D$60:D65)/SUMIFS($K$6:$K$728,$I$6:$I$728,A65)</f>
        <v>0.688311688311688</v>
      </c>
      <c r="G65" s="15"/>
      <c r="I65" s="8" t="s">
        <v>13</v>
      </c>
      <c r="J65" s="8" t="s">
        <v>49</v>
      </c>
      <c r="K65" s="9" t="n">
        <v>23</v>
      </c>
      <c r="L65" s="8" t="n">
        <f aca="false">COUNTIFS($I$6:$I$728,I65,$K$6:$K$728,"&gt;"&amp;K65)+1</f>
        <v>5</v>
      </c>
      <c r="M65" s="10" t="n">
        <f aca="false">K65/SUMIFS($K$6:$K$728,$I$6:$I$728,I65)</f>
        <v>0.0263459335624284</v>
      </c>
    </row>
    <row r="66" customFormat="false" ht="15" hidden="false" customHeight="false" outlineLevel="0" collapsed="false">
      <c r="A66" s="14" t="s">
        <v>14</v>
      </c>
      <c r="B66" s="14" t="n">
        <v>7</v>
      </c>
      <c r="C66" s="14" t="s">
        <v>26</v>
      </c>
      <c r="D66" s="6" t="n">
        <f aca="false">SUMIFS($K$6:$K$728,$I$6:$I$728,A66,$J$6:$J$728,C66)</f>
        <v>3</v>
      </c>
      <c r="E66" s="7" t="n">
        <f aca="false">D66/SUMIFS($K$6:$K$728,$I$6:$I$728,A66)</f>
        <v>0.012987012987013</v>
      </c>
      <c r="F66" s="7" t="n">
        <f aca="false">SUM(D$60:D66)/SUMIFS($K$6:$K$728,$I$6:$I$728,A66)</f>
        <v>0.701298701298701</v>
      </c>
      <c r="G66" s="15"/>
      <c r="I66" s="8" t="s">
        <v>13</v>
      </c>
      <c r="J66" s="8" t="s">
        <v>51</v>
      </c>
      <c r="K66" s="9" t="n">
        <v>19</v>
      </c>
      <c r="L66" s="8" t="n">
        <f aca="false">COUNTIFS($I$6:$I$728,I66,$K$6:$K$728,"&gt;"&amp;K66)+1</f>
        <v>6</v>
      </c>
      <c r="M66" s="10" t="n">
        <f aca="false">K66/SUMIFS($K$6:$K$728,$I$6:$I$728,I66)</f>
        <v>0.0217640320733104</v>
      </c>
    </row>
    <row r="67" customFormat="false" ht="15" hidden="false" customHeight="false" outlineLevel="0" collapsed="false">
      <c r="A67" s="14" t="s">
        <v>14</v>
      </c>
      <c r="B67" s="14" t="n">
        <v>8</v>
      </c>
      <c r="C67" s="14" t="s">
        <v>28</v>
      </c>
      <c r="D67" s="6" t="n">
        <f aca="false">SUMIFS($K$6:$K$728,$I$6:$I$728,A67,$J$6:$J$728,C67)</f>
        <v>3</v>
      </c>
      <c r="E67" s="7" t="n">
        <f aca="false">D67/SUMIFS($K$6:$K$728,$I$6:$I$728,A67)</f>
        <v>0.012987012987013</v>
      </c>
      <c r="F67" s="7" t="n">
        <f aca="false">SUM(D$60:D67)/SUMIFS($K$6:$K$728,$I$6:$I$728,A67)</f>
        <v>0.714285714285714</v>
      </c>
      <c r="G67" s="15"/>
      <c r="I67" s="8" t="s">
        <v>13</v>
      </c>
      <c r="J67" s="8" t="s">
        <v>53</v>
      </c>
      <c r="K67" s="9" t="n">
        <v>19</v>
      </c>
      <c r="L67" s="8" t="n">
        <f aca="false">COUNTIFS($I$6:$I$728,I67,$K$6:$K$728,"&gt;"&amp;K67)+1</f>
        <v>6</v>
      </c>
      <c r="M67" s="10" t="n">
        <f aca="false">K67/SUMIFS($K$6:$K$728,$I$6:$I$728,I67)</f>
        <v>0.0217640320733104</v>
      </c>
    </row>
    <row r="68" customFormat="false" ht="15" hidden="false" customHeight="false" outlineLevel="0" collapsed="false">
      <c r="A68" s="14" t="s">
        <v>14</v>
      </c>
      <c r="B68" s="14" t="n">
        <v>9</v>
      </c>
      <c r="C68" s="14" t="s">
        <v>30</v>
      </c>
      <c r="D68" s="6" t="n">
        <f aca="false">SUMIFS($K$6:$K$728,$I$6:$I$728,A68,$J$6:$J$728,C68)</f>
        <v>3</v>
      </c>
      <c r="E68" s="7" t="n">
        <f aca="false">D68/SUMIFS($K$6:$K$728,$I$6:$I$728,A68)</f>
        <v>0.012987012987013</v>
      </c>
      <c r="F68" s="7" t="n">
        <f aca="false">SUM(D$60:D68)/SUMIFS($K$6:$K$728,$I$6:$I$728,A68)</f>
        <v>0.727272727272727</v>
      </c>
      <c r="G68" s="15"/>
      <c r="I68" s="8" t="s">
        <v>13</v>
      </c>
      <c r="J68" s="8" t="s">
        <v>55</v>
      </c>
      <c r="K68" s="9" t="n">
        <v>13</v>
      </c>
      <c r="L68" s="8" t="n">
        <f aca="false">COUNTIFS($I$6:$I$728,I68,$K$6:$K$728,"&gt;"&amp;K68)+1</f>
        <v>8</v>
      </c>
      <c r="M68" s="10" t="n">
        <f aca="false">K68/SUMIFS($K$6:$K$728,$I$6:$I$728,I68)</f>
        <v>0.0148911798396334</v>
      </c>
    </row>
    <row r="69" customFormat="false" ht="15" hidden="false" customHeight="false" outlineLevel="0" collapsed="false">
      <c r="A69" s="14" t="s">
        <v>14</v>
      </c>
      <c r="B69" s="14" t="n">
        <v>10</v>
      </c>
      <c r="C69" s="14" t="s">
        <v>32</v>
      </c>
      <c r="D69" s="6" t="n">
        <f aca="false">SUMIFS($K$6:$K$728,$I$6:$I$728,A69,$J$6:$J$728,C69)</f>
        <v>3</v>
      </c>
      <c r="E69" s="7" t="n">
        <f aca="false">D69/SUMIFS($K$6:$K$728,$I$6:$I$728,A69)</f>
        <v>0.012987012987013</v>
      </c>
      <c r="F69" s="7" t="n">
        <f aca="false">SUM(D$60:D69)/SUMIFS($K$6:$K$728,$I$6:$I$728,A69)</f>
        <v>0.74025974025974</v>
      </c>
      <c r="G69" s="20" t="s">
        <v>122</v>
      </c>
      <c r="I69" s="8" t="s">
        <v>13</v>
      </c>
      <c r="J69" s="8" t="s">
        <v>57</v>
      </c>
      <c r="K69" s="9" t="n">
        <v>12</v>
      </c>
      <c r="L69" s="8" t="n">
        <f aca="false">COUNTIFS($I$6:$I$728,I69,$K$6:$K$728,"&gt;"&amp;K69)+1</f>
        <v>9</v>
      </c>
      <c r="M69" s="10" t="n">
        <f aca="false">K69/SUMIFS($K$6:$K$728,$I$6:$I$728,I69)</f>
        <v>0.013745704467354</v>
      </c>
    </row>
    <row r="70" customFormat="false" ht="15" hidden="false" customHeight="false" outlineLevel="0" collapsed="false">
      <c r="A70" s="16" t="s">
        <v>23</v>
      </c>
      <c r="B70" s="16" t="n">
        <v>1</v>
      </c>
      <c r="C70" s="16" t="s">
        <v>123</v>
      </c>
      <c r="D70" s="17" t="n">
        <f aca="false">SUMIFS($K$6:$K$728,$I$6:$I$728,A70,$J$6:$J$728,C70)</f>
        <v>62</v>
      </c>
      <c r="E70" s="18" t="n">
        <f aca="false">D70/SUMIFS($K$6:$K$728,$I$6:$I$728,A70)</f>
        <v>0.358381502890173</v>
      </c>
      <c r="F70" s="18" t="n">
        <f aca="false">SUM(D$70:D70)/SUMIFS($K$6:$K$728,$I$6:$I$728,A70)</f>
        <v>0.358381502890173</v>
      </c>
      <c r="G70" s="19"/>
      <c r="I70" s="8" t="s">
        <v>13</v>
      </c>
      <c r="J70" s="8" t="s">
        <v>59</v>
      </c>
      <c r="K70" s="9" t="n">
        <v>11</v>
      </c>
      <c r="L70" s="8" t="n">
        <f aca="false">COUNTIFS($I$6:$I$728,I70,$K$6:$K$728,"&gt;"&amp;K70)+1</f>
        <v>10</v>
      </c>
      <c r="M70" s="10" t="n">
        <f aca="false">K70/SUMIFS($K$6:$K$728,$I$6:$I$728,I70)</f>
        <v>0.0126002290950745</v>
      </c>
    </row>
    <row r="71" customFormat="false" ht="15" hidden="false" customHeight="false" outlineLevel="0" collapsed="false">
      <c r="A71" s="16" t="s">
        <v>23</v>
      </c>
      <c r="B71" s="16" t="n">
        <v>2</v>
      </c>
      <c r="C71" s="16" t="s">
        <v>124</v>
      </c>
      <c r="D71" s="17" t="n">
        <f aca="false">SUMIFS($K$6:$K$728,$I$6:$I$728,A71,$J$6:$J$728,C71)</f>
        <v>12</v>
      </c>
      <c r="E71" s="18" t="n">
        <f aca="false">D71/SUMIFS($K$6:$K$728,$I$6:$I$728,A71)</f>
        <v>0.069364161849711</v>
      </c>
      <c r="F71" s="18" t="n">
        <f aca="false">SUM(D$70:D71)/SUMIFS($K$6:$K$728,$I$6:$I$728,A71)</f>
        <v>0.427745664739884</v>
      </c>
      <c r="G71" s="19"/>
      <c r="I71" s="8" t="s">
        <v>13</v>
      </c>
      <c r="J71" s="8" t="s">
        <v>125</v>
      </c>
      <c r="K71" s="9" t="n">
        <v>10</v>
      </c>
      <c r="L71" s="8" t="n">
        <f aca="false">COUNTIFS($I$6:$I$728,I71,$K$6:$K$728,"&gt;"&amp;K71)+1</f>
        <v>11</v>
      </c>
      <c r="M71" s="10" t="n">
        <f aca="false">K71/SUMIFS($K$6:$K$728,$I$6:$I$728,I71)</f>
        <v>0.011454753722795</v>
      </c>
    </row>
    <row r="72" customFormat="false" ht="15" hidden="false" customHeight="false" outlineLevel="0" collapsed="false">
      <c r="A72" s="16" t="s">
        <v>23</v>
      </c>
      <c r="B72" s="16" t="n">
        <v>3</v>
      </c>
      <c r="C72" s="16" t="s">
        <v>126</v>
      </c>
      <c r="D72" s="17" t="n">
        <f aca="false">SUMIFS($K$6:$K$728,$I$6:$I$728,A72,$J$6:$J$728,C72)</f>
        <v>6</v>
      </c>
      <c r="E72" s="18" t="n">
        <f aca="false">D72/SUMIFS($K$6:$K$728,$I$6:$I$728,A72)</f>
        <v>0.0346820809248555</v>
      </c>
      <c r="F72" s="18" t="n">
        <f aca="false">SUM(D$70:D72)/SUMIFS($K$6:$K$728,$I$6:$I$728,A72)</f>
        <v>0.46242774566474</v>
      </c>
      <c r="G72" s="19"/>
      <c r="I72" s="8" t="s">
        <v>13</v>
      </c>
      <c r="J72" s="8" t="s">
        <v>127</v>
      </c>
      <c r="K72" s="9" t="n">
        <v>8</v>
      </c>
      <c r="L72" s="8" t="n">
        <f aca="false">COUNTIFS($I$6:$I$728,I72,$K$6:$K$728,"&gt;"&amp;K72)+1</f>
        <v>12</v>
      </c>
      <c r="M72" s="10" t="n">
        <f aca="false">K72/SUMIFS($K$6:$K$728,$I$6:$I$728,I72)</f>
        <v>0.00916380297823597</v>
      </c>
    </row>
    <row r="73" customFormat="false" ht="15" hidden="false" customHeight="false" outlineLevel="0" collapsed="false">
      <c r="A73" s="16" t="s">
        <v>23</v>
      </c>
      <c r="B73" s="16" t="n">
        <v>4</v>
      </c>
      <c r="C73" s="16" t="s">
        <v>128</v>
      </c>
      <c r="D73" s="17" t="n">
        <f aca="false">SUMIFS($K$6:$K$728,$I$6:$I$728,A73,$J$6:$J$728,C73)</f>
        <v>6</v>
      </c>
      <c r="E73" s="18" t="n">
        <f aca="false">D73/SUMIFS($K$6:$K$728,$I$6:$I$728,A73)</f>
        <v>0.0346820809248555</v>
      </c>
      <c r="F73" s="18" t="n">
        <f aca="false">SUM(D$70:D73)/SUMIFS($K$6:$K$728,$I$6:$I$728,A73)</f>
        <v>0.497109826589595</v>
      </c>
      <c r="G73" s="19"/>
      <c r="I73" s="8" t="s">
        <v>13</v>
      </c>
      <c r="J73" s="8" t="s">
        <v>129</v>
      </c>
      <c r="K73" s="9" t="n">
        <v>7</v>
      </c>
      <c r="L73" s="8" t="n">
        <f aca="false">COUNTIFS($I$6:$I$728,I73,$K$6:$K$728,"&gt;"&amp;K73)+1</f>
        <v>13</v>
      </c>
      <c r="M73" s="10" t="n">
        <f aca="false">K73/SUMIFS($K$6:$K$728,$I$6:$I$728,I73)</f>
        <v>0.00801832760595647</v>
      </c>
    </row>
    <row r="74" customFormat="false" ht="15" hidden="false" customHeight="false" outlineLevel="0" collapsed="false">
      <c r="A74" s="16" t="s">
        <v>23</v>
      </c>
      <c r="B74" s="16" t="n">
        <v>5</v>
      </c>
      <c r="C74" s="16" t="s">
        <v>130</v>
      </c>
      <c r="D74" s="17" t="n">
        <f aca="false">SUMIFS($K$6:$K$728,$I$6:$I$728,A74,$J$6:$J$728,C74)</f>
        <v>5</v>
      </c>
      <c r="E74" s="18" t="n">
        <f aca="false">D74/SUMIFS($K$6:$K$728,$I$6:$I$728,A74)</f>
        <v>0.0289017341040462</v>
      </c>
      <c r="F74" s="18" t="n">
        <f aca="false">SUM(D$70:D74)/SUMIFS($K$6:$K$728,$I$6:$I$728,A74)</f>
        <v>0.526011560693642</v>
      </c>
      <c r="G74" s="19"/>
      <c r="I74" s="8" t="s">
        <v>13</v>
      </c>
      <c r="J74" s="8" t="s">
        <v>131</v>
      </c>
      <c r="K74" s="9" t="n">
        <v>7</v>
      </c>
      <c r="L74" s="8" t="n">
        <f aca="false">COUNTIFS($I$6:$I$728,I74,$K$6:$K$728,"&gt;"&amp;K74)+1</f>
        <v>13</v>
      </c>
      <c r="M74" s="10" t="n">
        <f aca="false">K74/SUMIFS($K$6:$K$728,$I$6:$I$728,I74)</f>
        <v>0.00801832760595647</v>
      </c>
    </row>
    <row r="75" customFormat="false" ht="15" hidden="false" customHeight="false" outlineLevel="0" collapsed="false">
      <c r="A75" s="16" t="s">
        <v>23</v>
      </c>
      <c r="B75" s="16" t="n">
        <v>6</v>
      </c>
      <c r="C75" s="16" t="s">
        <v>132</v>
      </c>
      <c r="D75" s="17" t="n">
        <f aca="false">SUMIFS($K$6:$K$728,$I$6:$I$728,A75,$J$6:$J$728,C75)</f>
        <v>5</v>
      </c>
      <c r="E75" s="18" t="n">
        <f aca="false">D75/SUMIFS($K$6:$K$728,$I$6:$I$728,A75)</f>
        <v>0.0289017341040462</v>
      </c>
      <c r="F75" s="18" t="n">
        <f aca="false">SUM(D$70:D75)/SUMIFS($K$6:$K$728,$I$6:$I$728,A75)</f>
        <v>0.554913294797688</v>
      </c>
      <c r="G75" s="19"/>
      <c r="I75" s="8" t="s">
        <v>13</v>
      </c>
      <c r="J75" s="8" t="s">
        <v>133</v>
      </c>
      <c r="K75" s="9" t="n">
        <v>7</v>
      </c>
      <c r="L75" s="8" t="n">
        <f aca="false">COUNTIFS($I$6:$I$728,I75,$K$6:$K$728,"&gt;"&amp;K75)+1</f>
        <v>13</v>
      </c>
      <c r="M75" s="10" t="n">
        <f aca="false">K75/SUMIFS($K$6:$K$728,$I$6:$I$728,I75)</f>
        <v>0.00801832760595647</v>
      </c>
    </row>
    <row r="76" customFormat="false" ht="15" hidden="false" customHeight="false" outlineLevel="0" collapsed="false">
      <c r="A76" s="16" t="s">
        <v>23</v>
      </c>
      <c r="B76" s="16" t="n">
        <v>7</v>
      </c>
      <c r="C76" s="16" t="s">
        <v>134</v>
      </c>
      <c r="D76" s="17" t="n">
        <f aca="false">SUMIFS($K$6:$K$728,$I$6:$I$728,A76,$J$6:$J$728,C76)</f>
        <v>4</v>
      </c>
      <c r="E76" s="18" t="n">
        <f aca="false">D76/SUMIFS($K$6:$K$728,$I$6:$I$728,A76)</f>
        <v>0.023121387283237</v>
      </c>
      <c r="F76" s="18" t="n">
        <f aca="false">SUM(D$70:D76)/SUMIFS($K$6:$K$728,$I$6:$I$728,A76)</f>
        <v>0.578034682080925</v>
      </c>
      <c r="G76" s="19"/>
      <c r="I76" s="8" t="s">
        <v>13</v>
      </c>
      <c r="J76" s="8" t="s">
        <v>135</v>
      </c>
      <c r="K76" s="9" t="n">
        <v>7</v>
      </c>
      <c r="L76" s="8" t="n">
        <f aca="false">COUNTIFS($I$6:$I$728,I76,$K$6:$K$728,"&gt;"&amp;K76)+1</f>
        <v>13</v>
      </c>
      <c r="M76" s="10" t="n">
        <f aca="false">K76/SUMIFS($K$6:$K$728,$I$6:$I$728,I76)</f>
        <v>0.00801832760595647</v>
      </c>
    </row>
    <row r="77" customFormat="false" ht="15" hidden="false" customHeight="false" outlineLevel="0" collapsed="false">
      <c r="A77" s="16" t="s">
        <v>23</v>
      </c>
      <c r="B77" s="16" t="n">
        <v>8</v>
      </c>
      <c r="C77" s="16" t="s">
        <v>136</v>
      </c>
      <c r="D77" s="17" t="n">
        <f aca="false">SUMIFS($K$6:$K$728,$I$6:$I$728,A77,$J$6:$J$728,C77)</f>
        <v>4</v>
      </c>
      <c r="E77" s="18" t="n">
        <f aca="false">D77/SUMIFS($K$6:$K$728,$I$6:$I$728,A77)</f>
        <v>0.023121387283237</v>
      </c>
      <c r="F77" s="18" t="n">
        <f aca="false">SUM(D$70:D77)/SUMIFS($K$6:$K$728,$I$6:$I$728,A77)</f>
        <v>0.601156069364162</v>
      </c>
      <c r="G77" s="19"/>
      <c r="I77" s="8" t="s">
        <v>13</v>
      </c>
      <c r="J77" s="8" t="s">
        <v>137</v>
      </c>
      <c r="K77" s="9" t="n">
        <v>6</v>
      </c>
      <c r="L77" s="8" t="n">
        <f aca="false">COUNTIFS($I$6:$I$728,I77,$K$6:$K$728,"&gt;"&amp;K77)+1</f>
        <v>17</v>
      </c>
      <c r="M77" s="10" t="n">
        <f aca="false">K77/SUMIFS($K$6:$K$728,$I$6:$I$728,I77)</f>
        <v>0.00687285223367698</v>
      </c>
    </row>
    <row r="78" customFormat="false" ht="15" hidden="false" customHeight="false" outlineLevel="0" collapsed="false">
      <c r="A78" s="16" t="s">
        <v>23</v>
      </c>
      <c r="B78" s="16" t="n">
        <v>9</v>
      </c>
      <c r="C78" s="16" t="s">
        <v>138</v>
      </c>
      <c r="D78" s="17" t="n">
        <f aca="false">SUMIFS($K$6:$K$728,$I$6:$I$728,A78,$J$6:$J$728,C78)</f>
        <v>4</v>
      </c>
      <c r="E78" s="18" t="n">
        <f aca="false">D78/SUMIFS($K$6:$K$728,$I$6:$I$728,A78)</f>
        <v>0.023121387283237</v>
      </c>
      <c r="F78" s="18" t="n">
        <f aca="false">SUM(D$70:D78)/SUMIFS($K$6:$K$728,$I$6:$I$728,A78)</f>
        <v>0.624277456647399</v>
      </c>
      <c r="G78" s="19"/>
      <c r="I78" s="8" t="s">
        <v>13</v>
      </c>
      <c r="J78" s="8" t="s">
        <v>139</v>
      </c>
      <c r="K78" s="9" t="n">
        <v>5</v>
      </c>
      <c r="L78" s="8" t="n">
        <f aca="false">COUNTIFS($I$6:$I$728,I78,$K$6:$K$728,"&gt;"&amp;K78)+1</f>
        <v>18</v>
      </c>
      <c r="M78" s="10" t="n">
        <f aca="false">K78/SUMIFS($K$6:$K$728,$I$6:$I$728,I78)</f>
        <v>0.00572737686139748</v>
      </c>
    </row>
    <row r="79" customFormat="false" ht="15" hidden="false" customHeight="false" outlineLevel="0" collapsed="false">
      <c r="A79" s="16" t="s">
        <v>23</v>
      </c>
      <c r="B79" s="16" t="n">
        <v>10</v>
      </c>
      <c r="C79" s="16" t="s">
        <v>140</v>
      </c>
      <c r="D79" s="17" t="n">
        <f aca="false">SUMIFS($K$6:$K$728,$I$6:$I$728,A79,$J$6:$J$728,C79)</f>
        <v>3</v>
      </c>
      <c r="E79" s="18" t="n">
        <f aca="false">D79/SUMIFS($K$6:$K$728,$I$6:$I$728,A79)</f>
        <v>0.0173410404624277</v>
      </c>
      <c r="F79" s="18" t="n">
        <f aca="false">SUM(D$70:D79)/SUMIFS($K$6:$K$728,$I$6:$I$728,A79)</f>
        <v>0.641618497109827</v>
      </c>
      <c r="G79" s="21" t="s">
        <v>122</v>
      </c>
      <c r="I79" s="8" t="s">
        <v>13</v>
      </c>
      <c r="J79" s="8" t="s">
        <v>141</v>
      </c>
      <c r="K79" s="9" t="n">
        <v>5</v>
      </c>
      <c r="L79" s="8" t="n">
        <f aca="false">COUNTIFS($I$6:$I$728,I79,$K$6:$K$728,"&gt;"&amp;K79)+1</f>
        <v>18</v>
      </c>
      <c r="M79" s="10" t="n">
        <f aca="false">K79/SUMIFS($K$6:$K$728,$I$6:$I$728,I79)</f>
        <v>0.00572737686139748</v>
      </c>
    </row>
    <row r="80" customFormat="false" ht="15" hidden="false" customHeight="false" outlineLevel="0" collapsed="false">
      <c r="A80" s="14" t="s">
        <v>25</v>
      </c>
      <c r="B80" s="14" t="n">
        <v>1</v>
      </c>
      <c r="C80" s="14" t="s">
        <v>142</v>
      </c>
      <c r="D80" s="6" t="n">
        <f aca="false">SUMIFS($K$6:$K$728,$I$6:$I$728,A80,$J$6:$J$728,C80)</f>
        <v>71</v>
      </c>
      <c r="E80" s="7" t="n">
        <f aca="false">D80/SUMIFS($K$6:$K$728,$I$6:$I$728,A80)</f>
        <v>0.43558282208589</v>
      </c>
      <c r="F80" s="7" t="n">
        <f aca="false">SUM(D$80:D80)/SUMIFS($K$6:$K$728,$I$6:$I$728,A80)</f>
        <v>0.43558282208589</v>
      </c>
      <c r="G80" s="15"/>
      <c r="I80" s="8" t="s">
        <v>13</v>
      </c>
      <c r="J80" s="8" t="s">
        <v>143</v>
      </c>
      <c r="K80" s="9" t="n">
        <v>5</v>
      </c>
      <c r="L80" s="8" t="n">
        <f aca="false">COUNTIFS($I$6:$I$728,I80,$K$6:$K$728,"&gt;"&amp;K80)+1</f>
        <v>18</v>
      </c>
      <c r="M80" s="10" t="n">
        <f aca="false">K80/SUMIFS($K$6:$K$728,$I$6:$I$728,I80)</f>
        <v>0.00572737686139748</v>
      </c>
    </row>
    <row r="81" customFormat="false" ht="15" hidden="false" customHeight="false" outlineLevel="0" collapsed="false">
      <c r="A81" s="14" t="s">
        <v>25</v>
      </c>
      <c r="B81" s="14" t="n">
        <v>2</v>
      </c>
      <c r="C81" s="14" t="s">
        <v>144</v>
      </c>
      <c r="D81" s="6" t="n">
        <f aca="false">SUMIFS($K$6:$K$728,$I$6:$I$728,A81,$J$6:$J$728,C81)</f>
        <v>16</v>
      </c>
      <c r="E81" s="7" t="n">
        <f aca="false">D81/SUMIFS($K$6:$K$728,$I$6:$I$728,A81)</f>
        <v>0.098159509202454</v>
      </c>
      <c r="F81" s="7" t="n">
        <f aca="false">SUM(D$80:D81)/SUMIFS($K$6:$K$728,$I$6:$I$728,A81)</f>
        <v>0.533742331288344</v>
      </c>
      <c r="G81" s="15"/>
      <c r="I81" s="8" t="s">
        <v>13</v>
      </c>
      <c r="J81" s="8" t="s">
        <v>145</v>
      </c>
      <c r="K81" s="9" t="n">
        <v>5</v>
      </c>
      <c r="L81" s="8" t="n">
        <f aca="false">COUNTIFS($I$6:$I$728,I81,$K$6:$K$728,"&gt;"&amp;K81)+1</f>
        <v>18</v>
      </c>
      <c r="M81" s="10" t="n">
        <f aca="false">K81/SUMIFS($K$6:$K$728,$I$6:$I$728,I81)</f>
        <v>0.00572737686139748</v>
      </c>
    </row>
    <row r="82" customFormat="false" ht="15" hidden="false" customHeight="false" outlineLevel="0" collapsed="false">
      <c r="A82" s="14" t="s">
        <v>25</v>
      </c>
      <c r="B82" s="14" t="n">
        <v>3</v>
      </c>
      <c r="C82" s="14" t="s">
        <v>146</v>
      </c>
      <c r="D82" s="6" t="n">
        <f aca="false">SUMIFS($K$6:$K$728,$I$6:$I$728,A82,$J$6:$J$728,C82)</f>
        <v>7</v>
      </c>
      <c r="E82" s="7" t="n">
        <f aca="false">D82/SUMIFS($K$6:$K$728,$I$6:$I$728,A82)</f>
        <v>0.0429447852760736</v>
      </c>
      <c r="F82" s="7" t="n">
        <f aca="false">SUM(D$80:D82)/SUMIFS($K$6:$K$728,$I$6:$I$728,A82)</f>
        <v>0.576687116564417</v>
      </c>
      <c r="G82" s="15"/>
      <c r="I82" s="8" t="s">
        <v>13</v>
      </c>
      <c r="J82" s="8" t="s">
        <v>147</v>
      </c>
      <c r="K82" s="9" t="n">
        <v>5</v>
      </c>
      <c r="L82" s="8" t="n">
        <f aca="false">COUNTIFS($I$6:$I$728,I82,$K$6:$K$728,"&gt;"&amp;K82)+1</f>
        <v>18</v>
      </c>
      <c r="M82" s="10" t="n">
        <f aca="false">K82/SUMIFS($K$6:$K$728,$I$6:$I$728,I82)</f>
        <v>0.00572737686139748</v>
      </c>
    </row>
    <row r="83" customFormat="false" ht="15" hidden="false" customHeight="false" outlineLevel="0" collapsed="false">
      <c r="A83" s="14" t="s">
        <v>25</v>
      </c>
      <c r="B83" s="14" t="n">
        <v>4</v>
      </c>
      <c r="C83" s="14" t="s">
        <v>148</v>
      </c>
      <c r="D83" s="6" t="n">
        <f aca="false">SUMIFS($K$6:$K$728,$I$6:$I$728,A83,$J$6:$J$728,C83)</f>
        <v>5</v>
      </c>
      <c r="E83" s="7" t="n">
        <f aca="false">D83/SUMIFS($K$6:$K$728,$I$6:$I$728,A83)</f>
        <v>0.0306748466257669</v>
      </c>
      <c r="F83" s="7" t="n">
        <f aca="false">SUM(D$80:D83)/SUMIFS($K$6:$K$728,$I$6:$I$728,A83)</f>
        <v>0.607361963190184</v>
      </c>
      <c r="G83" s="15"/>
      <c r="I83" s="8" t="s">
        <v>13</v>
      </c>
      <c r="J83" s="8" t="s">
        <v>149</v>
      </c>
      <c r="K83" s="9" t="n">
        <v>5</v>
      </c>
      <c r="L83" s="8" t="n">
        <f aca="false">COUNTIFS($I$6:$I$728,I83,$K$6:$K$728,"&gt;"&amp;K83)+1</f>
        <v>18</v>
      </c>
      <c r="M83" s="10" t="n">
        <f aca="false">K83/SUMIFS($K$6:$K$728,$I$6:$I$728,I83)</f>
        <v>0.00572737686139748</v>
      </c>
    </row>
    <row r="84" customFormat="false" ht="15" hidden="false" customHeight="false" outlineLevel="0" collapsed="false">
      <c r="A84" s="14" t="s">
        <v>25</v>
      </c>
      <c r="B84" s="14" t="n">
        <v>5</v>
      </c>
      <c r="C84" s="14" t="s">
        <v>150</v>
      </c>
      <c r="D84" s="6" t="n">
        <f aca="false">SUMIFS($K$6:$K$728,$I$6:$I$728,A84,$J$6:$J$728,C84)</f>
        <v>5</v>
      </c>
      <c r="E84" s="7" t="n">
        <f aca="false">D84/SUMIFS($K$6:$K$728,$I$6:$I$728,A84)</f>
        <v>0.0306748466257669</v>
      </c>
      <c r="F84" s="7" t="n">
        <f aca="false">SUM(D$80:D84)/SUMIFS($K$6:$K$728,$I$6:$I$728,A84)</f>
        <v>0.638036809815951</v>
      </c>
      <c r="G84" s="15"/>
      <c r="I84" s="8" t="s">
        <v>13</v>
      </c>
      <c r="J84" s="8" t="s">
        <v>151</v>
      </c>
      <c r="K84" s="9" t="n">
        <v>5</v>
      </c>
      <c r="L84" s="8" t="n">
        <f aca="false">COUNTIFS($I$6:$I$728,I84,$K$6:$K$728,"&gt;"&amp;K84)+1</f>
        <v>18</v>
      </c>
      <c r="M84" s="10" t="n">
        <f aca="false">K84/SUMIFS($K$6:$K$728,$I$6:$I$728,I84)</f>
        <v>0.00572737686139748</v>
      </c>
    </row>
    <row r="85" customFormat="false" ht="15" hidden="false" customHeight="false" outlineLevel="0" collapsed="false">
      <c r="A85" s="14" t="s">
        <v>25</v>
      </c>
      <c r="B85" s="14" t="n">
        <v>6</v>
      </c>
      <c r="C85" s="14" t="s">
        <v>152</v>
      </c>
      <c r="D85" s="6" t="n">
        <f aca="false">SUMIFS($K$6:$K$728,$I$6:$I$728,A85,$J$6:$J$728,C85)</f>
        <v>5</v>
      </c>
      <c r="E85" s="7" t="n">
        <f aca="false">D85/SUMIFS($K$6:$K$728,$I$6:$I$728,A85)</f>
        <v>0.0306748466257669</v>
      </c>
      <c r="F85" s="7" t="n">
        <f aca="false">SUM(D$80:D85)/SUMIFS($K$6:$K$728,$I$6:$I$728,A85)</f>
        <v>0.668711656441718</v>
      </c>
      <c r="G85" s="15"/>
      <c r="I85" s="8" t="s">
        <v>13</v>
      </c>
      <c r="J85" s="8" t="s">
        <v>153</v>
      </c>
      <c r="K85" s="9" t="n">
        <v>4</v>
      </c>
      <c r="L85" s="8" t="n">
        <f aca="false">COUNTIFS($I$6:$I$728,I85,$K$6:$K$728,"&gt;"&amp;K85)+1</f>
        <v>25</v>
      </c>
      <c r="M85" s="10" t="n">
        <f aca="false">K85/SUMIFS($K$6:$K$728,$I$6:$I$728,I85)</f>
        <v>0.00458190148911798</v>
      </c>
    </row>
    <row r="86" customFormat="false" ht="15" hidden="false" customHeight="false" outlineLevel="0" collapsed="false">
      <c r="A86" s="14" t="s">
        <v>25</v>
      </c>
      <c r="B86" s="14" t="n">
        <v>7</v>
      </c>
      <c r="C86" s="14" t="s">
        <v>154</v>
      </c>
      <c r="D86" s="6" t="n">
        <f aca="false">SUMIFS($K$6:$K$728,$I$6:$I$728,A86,$J$6:$J$728,C86)</f>
        <v>3</v>
      </c>
      <c r="E86" s="7" t="n">
        <f aca="false">D86/SUMIFS($K$6:$K$728,$I$6:$I$728,A86)</f>
        <v>0.0184049079754601</v>
      </c>
      <c r="F86" s="7" t="n">
        <f aca="false">SUM(D$80:D86)/SUMIFS($K$6:$K$728,$I$6:$I$728,A86)</f>
        <v>0.687116564417178</v>
      </c>
      <c r="G86" s="15"/>
      <c r="I86" s="8" t="s">
        <v>13</v>
      </c>
      <c r="J86" s="8" t="s">
        <v>155</v>
      </c>
      <c r="K86" s="9" t="n">
        <v>4</v>
      </c>
      <c r="L86" s="8" t="n">
        <f aca="false">COUNTIFS($I$6:$I$728,I86,$K$6:$K$728,"&gt;"&amp;K86)+1</f>
        <v>25</v>
      </c>
      <c r="M86" s="10" t="n">
        <f aca="false">K86/SUMIFS($K$6:$K$728,$I$6:$I$728,I86)</f>
        <v>0.00458190148911798</v>
      </c>
    </row>
    <row r="87" customFormat="false" ht="15" hidden="false" customHeight="false" outlineLevel="0" collapsed="false">
      <c r="A87" s="14" t="s">
        <v>25</v>
      </c>
      <c r="B87" s="14" t="n">
        <v>8</v>
      </c>
      <c r="C87" s="14" t="s">
        <v>156</v>
      </c>
      <c r="D87" s="6" t="n">
        <f aca="false">SUMIFS($K$6:$K$728,$I$6:$I$728,A87,$J$6:$J$728,C87)</f>
        <v>2</v>
      </c>
      <c r="E87" s="7" t="n">
        <f aca="false">D87/SUMIFS($K$6:$K$728,$I$6:$I$728,A87)</f>
        <v>0.0122699386503067</v>
      </c>
      <c r="F87" s="7" t="n">
        <f aca="false">SUM(D$80:D87)/SUMIFS($K$6:$K$728,$I$6:$I$728,A87)</f>
        <v>0.699386503067485</v>
      </c>
      <c r="G87" s="15"/>
      <c r="I87" s="8" t="s">
        <v>13</v>
      </c>
      <c r="J87" s="8" t="s">
        <v>157</v>
      </c>
      <c r="K87" s="9" t="n">
        <v>4</v>
      </c>
      <c r="L87" s="8" t="n">
        <f aca="false">COUNTIFS($I$6:$I$728,I87,$K$6:$K$728,"&gt;"&amp;K87)+1</f>
        <v>25</v>
      </c>
      <c r="M87" s="10" t="n">
        <f aca="false">K87/SUMIFS($K$6:$K$728,$I$6:$I$728,I87)</f>
        <v>0.00458190148911798</v>
      </c>
    </row>
    <row r="88" customFormat="false" ht="15" hidden="false" customHeight="false" outlineLevel="0" collapsed="false">
      <c r="A88" s="14" t="s">
        <v>25</v>
      </c>
      <c r="B88" s="14" t="n">
        <v>9</v>
      </c>
      <c r="C88" s="14" t="s">
        <v>158</v>
      </c>
      <c r="D88" s="6" t="n">
        <f aca="false">SUMIFS($K$6:$K$728,$I$6:$I$728,A88,$J$6:$J$728,C88)</f>
        <v>2</v>
      </c>
      <c r="E88" s="7" t="n">
        <f aca="false">D88/SUMIFS($K$6:$K$728,$I$6:$I$728,A88)</f>
        <v>0.0122699386503067</v>
      </c>
      <c r="F88" s="7" t="n">
        <f aca="false">SUM(D$80:D88)/SUMIFS($K$6:$K$728,$I$6:$I$728,A88)</f>
        <v>0.711656441717791</v>
      </c>
      <c r="G88" s="15"/>
      <c r="I88" s="8" t="s">
        <v>13</v>
      </c>
      <c r="J88" s="8" t="s">
        <v>159</v>
      </c>
      <c r="K88" s="9" t="n">
        <v>4</v>
      </c>
      <c r="L88" s="8" t="n">
        <f aca="false">COUNTIFS($I$6:$I$728,I88,$K$6:$K$728,"&gt;"&amp;K88)+1</f>
        <v>25</v>
      </c>
      <c r="M88" s="10" t="n">
        <f aca="false">K88/SUMIFS($K$6:$K$728,$I$6:$I$728,I88)</f>
        <v>0.00458190148911798</v>
      </c>
    </row>
    <row r="89" customFormat="false" ht="15" hidden="false" customHeight="false" outlineLevel="0" collapsed="false">
      <c r="A89" s="14" t="s">
        <v>25</v>
      </c>
      <c r="B89" s="14" t="n">
        <v>10</v>
      </c>
      <c r="C89" s="14" t="s">
        <v>160</v>
      </c>
      <c r="D89" s="6" t="n">
        <f aca="false">SUMIFS($K$6:$K$728,$I$6:$I$728,A89,$J$6:$J$728,C89)</f>
        <v>2</v>
      </c>
      <c r="E89" s="7" t="n">
        <f aca="false">D89/SUMIFS($K$6:$K$728,$I$6:$I$728,A89)</f>
        <v>0.0122699386503067</v>
      </c>
      <c r="F89" s="7" t="n">
        <f aca="false">SUM(D$80:D89)/SUMIFS($K$6:$K$728,$I$6:$I$728,A89)</f>
        <v>0.723926380368098</v>
      </c>
      <c r="G89" s="20" t="s">
        <v>161</v>
      </c>
      <c r="I89" s="8" t="s">
        <v>13</v>
      </c>
      <c r="J89" s="8" t="s">
        <v>162</v>
      </c>
      <c r="K89" s="9" t="n">
        <v>4</v>
      </c>
      <c r="L89" s="8" t="n">
        <f aca="false">COUNTIFS($I$6:$I$728,I89,$K$6:$K$728,"&gt;"&amp;K89)+1</f>
        <v>25</v>
      </c>
      <c r="M89" s="10" t="n">
        <f aca="false">K89/SUMIFS($K$6:$K$728,$I$6:$I$728,I89)</f>
        <v>0.00458190148911798</v>
      </c>
    </row>
    <row r="90" customFormat="false" ht="15" hidden="false" customHeight="false" outlineLevel="0" collapsed="false">
      <c r="A90" s="16" t="s">
        <v>27</v>
      </c>
      <c r="B90" s="16" t="n">
        <v>1</v>
      </c>
      <c r="C90" s="16" t="s">
        <v>163</v>
      </c>
      <c r="D90" s="17" t="n">
        <f aca="false">SUMIFS($K$6:$K$728,$I$6:$I$728,A90,$J$6:$J$728,C90)</f>
        <v>57</v>
      </c>
      <c r="E90" s="18" t="n">
        <f aca="false">D90/SUMIFS($K$6:$K$728,$I$6:$I$728,A90)</f>
        <v>0.422222222222222</v>
      </c>
      <c r="F90" s="18" t="n">
        <f aca="false">SUM(D$90:D90)/SUMIFS($K$6:$K$728,$I$6:$I$728,A90)</f>
        <v>0.422222222222222</v>
      </c>
      <c r="G90" s="19"/>
      <c r="I90" s="8" t="s">
        <v>13</v>
      </c>
      <c r="J90" s="8" t="s">
        <v>164</v>
      </c>
      <c r="K90" s="9" t="n">
        <v>4</v>
      </c>
      <c r="L90" s="8" t="n">
        <f aca="false">COUNTIFS($I$6:$I$728,I90,$K$6:$K$728,"&gt;"&amp;K90)+1</f>
        <v>25</v>
      </c>
      <c r="M90" s="10" t="n">
        <f aca="false">K90/SUMIFS($K$6:$K$728,$I$6:$I$728,I90)</f>
        <v>0.00458190148911798</v>
      </c>
    </row>
    <row r="91" customFormat="false" ht="15" hidden="false" customHeight="false" outlineLevel="0" collapsed="false">
      <c r="A91" s="16" t="s">
        <v>27</v>
      </c>
      <c r="B91" s="16" t="n">
        <v>2</v>
      </c>
      <c r="C91" s="16" t="s">
        <v>165</v>
      </c>
      <c r="D91" s="17" t="n">
        <f aca="false">SUMIFS($K$6:$K$728,$I$6:$I$728,A91,$J$6:$J$728,C91)</f>
        <v>9</v>
      </c>
      <c r="E91" s="18" t="n">
        <f aca="false">D91/SUMIFS($K$6:$K$728,$I$6:$I$728,A91)</f>
        <v>0.0666666666666667</v>
      </c>
      <c r="F91" s="18" t="n">
        <f aca="false">SUM(D$90:D91)/SUMIFS($K$6:$K$728,$I$6:$I$728,A91)</f>
        <v>0.488888888888889</v>
      </c>
      <c r="G91" s="19"/>
      <c r="I91" s="8" t="s">
        <v>13</v>
      </c>
      <c r="J91" s="8" t="s">
        <v>166</v>
      </c>
      <c r="K91" s="9" t="n">
        <v>4</v>
      </c>
      <c r="L91" s="8" t="n">
        <f aca="false">COUNTIFS($I$6:$I$728,I91,$K$6:$K$728,"&gt;"&amp;K91)+1</f>
        <v>25</v>
      </c>
      <c r="M91" s="10" t="n">
        <f aca="false">K91/SUMIFS($K$6:$K$728,$I$6:$I$728,I91)</f>
        <v>0.00458190148911798</v>
      </c>
    </row>
    <row r="92" customFormat="false" ht="15" hidden="false" customHeight="false" outlineLevel="0" collapsed="false">
      <c r="A92" s="16" t="s">
        <v>27</v>
      </c>
      <c r="B92" s="16" t="n">
        <v>3</v>
      </c>
      <c r="C92" s="16" t="s">
        <v>167</v>
      </c>
      <c r="D92" s="17" t="n">
        <f aca="false">SUMIFS($K$6:$K$728,$I$6:$I$728,A92,$J$6:$J$728,C92)</f>
        <v>6</v>
      </c>
      <c r="E92" s="18" t="n">
        <f aca="false">D92/SUMIFS($K$6:$K$728,$I$6:$I$728,A92)</f>
        <v>0.0444444444444444</v>
      </c>
      <c r="F92" s="18" t="n">
        <f aca="false">SUM(D$90:D92)/SUMIFS($K$6:$K$728,$I$6:$I$728,A92)</f>
        <v>0.533333333333333</v>
      </c>
      <c r="G92" s="19"/>
      <c r="I92" s="8" t="s">
        <v>13</v>
      </c>
      <c r="J92" s="8" t="s">
        <v>168</v>
      </c>
      <c r="K92" s="9" t="n">
        <v>4</v>
      </c>
      <c r="L92" s="8" t="n">
        <f aca="false">COUNTIFS($I$6:$I$728,I92,$K$6:$K$728,"&gt;"&amp;K92)+1</f>
        <v>25</v>
      </c>
      <c r="M92" s="10" t="n">
        <f aca="false">K92/SUMIFS($K$6:$K$728,$I$6:$I$728,I92)</f>
        <v>0.00458190148911798</v>
      </c>
    </row>
    <row r="93" customFormat="false" ht="15" hidden="false" customHeight="false" outlineLevel="0" collapsed="false">
      <c r="A93" s="16" t="s">
        <v>27</v>
      </c>
      <c r="B93" s="16" t="n">
        <v>4</v>
      </c>
      <c r="C93" s="16" t="s">
        <v>169</v>
      </c>
      <c r="D93" s="17" t="n">
        <f aca="false">SUMIFS($K$6:$K$728,$I$6:$I$728,A93,$J$6:$J$728,C93)</f>
        <v>6</v>
      </c>
      <c r="E93" s="18" t="n">
        <f aca="false">D93/SUMIFS($K$6:$K$728,$I$6:$I$728,A93)</f>
        <v>0.0444444444444444</v>
      </c>
      <c r="F93" s="18" t="n">
        <f aca="false">SUM(D$90:D93)/SUMIFS($K$6:$K$728,$I$6:$I$728,A93)</f>
        <v>0.577777777777778</v>
      </c>
      <c r="G93" s="19"/>
      <c r="I93" s="8" t="s">
        <v>13</v>
      </c>
      <c r="J93" s="8" t="s">
        <v>170</v>
      </c>
      <c r="K93" s="9" t="n">
        <v>4</v>
      </c>
      <c r="L93" s="8" t="n">
        <f aca="false">COUNTIFS($I$6:$I$728,I93,$K$6:$K$728,"&gt;"&amp;K93)+1</f>
        <v>25</v>
      </c>
      <c r="M93" s="10" t="n">
        <f aca="false">K93/SUMIFS($K$6:$K$728,$I$6:$I$728,I93)</f>
        <v>0.00458190148911798</v>
      </c>
    </row>
    <row r="94" customFormat="false" ht="15" hidden="false" customHeight="false" outlineLevel="0" collapsed="false">
      <c r="A94" s="16" t="s">
        <v>27</v>
      </c>
      <c r="B94" s="16" t="n">
        <v>5</v>
      </c>
      <c r="C94" s="16" t="s">
        <v>171</v>
      </c>
      <c r="D94" s="17" t="n">
        <f aca="false">SUMIFS($K$6:$K$728,$I$6:$I$728,A94,$J$6:$J$728,C94)</f>
        <v>6</v>
      </c>
      <c r="E94" s="18" t="n">
        <f aca="false">D94/SUMIFS($K$6:$K$728,$I$6:$I$728,A94)</f>
        <v>0.0444444444444444</v>
      </c>
      <c r="F94" s="18" t="n">
        <f aca="false">SUM(D$90:D94)/SUMIFS($K$6:$K$728,$I$6:$I$728,A94)</f>
        <v>0.622222222222222</v>
      </c>
      <c r="G94" s="19"/>
      <c r="I94" s="8" t="s">
        <v>13</v>
      </c>
      <c r="J94" s="8" t="s">
        <v>172</v>
      </c>
      <c r="K94" s="9" t="n">
        <v>3</v>
      </c>
      <c r="L94" s="8" t="n">
        <f aca="false">COUNTIFS($I$6:$I$728,I94,$K$6:$K$728,"&gt;"&amp;K94)+1</f>
        <v>34</v>
      </c>
      <c r="M94" s="10" t="n">
        <f aca="false">K94/SUMIFS($K$6:$K$728,$I$6:$I$728,I94)</f>
        <v>0.00343642611683849</v>
      </c>
    </row>
    <row r="95" customFormat="false" ht="15" hidden="false" customHeight="false" outlineLevel="0" collapsed="false">
      <c r="A95" s="16" t="s">
        <v>27</v>
      </c>
      <c r="B95" s="16" t="n">
        <v>6</v>
      </c>
      <c r="C95" s="16" t="s">
        <v>173</v>
      </c>
      <c r="D95" s="17" t="n">
        <f aca="false">SUMIFS($K$6:$K$728,$I$6:$I$728,A95,$J$6:$J$728,C95)</f>
        <v>5</v>
      </c>
      <c r="E95" s="18" t="n">
        <f aca="false">D95/SUMIFS($K$6:$K$728,$I$6:$I$728,A95)</f>
        <v>0.037037037037037</v>
      </c>
      <c r="F95" s="18" t="n">
        <f aca="false">SUM(D$90:D95)/SUMIFS($K$6:$K$728,$I$6:$I$728,A95)</f>
        <v>0.659259259259259</v>
      </c>
      <c r="G95" s="19"/>
      <c r="I95" s="8" t="s">
        <v>13</v>
      </c>
      <c r="J95" s="8" t="s">
        <v>174</v>
      </c>
      <c r="K95" s="9" t="n">
        <v>3</v>
      </c>
      <c r="L95" s="8" t="n">
        <f aca="false">COUNTIFS($I$6:$I$728,I95,$K$6:$K$728,"&gt;"&amp;K95)+1</f>
        <v>34</v>
      </c>
      <c r="M95" s="10" t="n">
        <f aca="false">K95/SUMIFS($K$6:$K$728,$I$6:$I$728,I95)</f>
        <v>0.00343642611683849</v>
      </c>
    </row>
    <row r="96" customFormat="false" ht="15" hidden="false" customHeight="false" outlineLevel="0" collapsed="false">
      <c r="A96" s="16" t="s">
        <v>27</v>
      </c>
      <c r="B96" s="16" t="n">
        <v>7</v>
      </c>
      <c r="C96" s="16" t="s">
        <v>175</v>
      </c>
      <c r="D96" s="17" t="n">
        <f aca="false">SUMIFS($K$6:$K$728,$I$6:$I$728,A96,$J$6:$J$728,C96)</f>
        <v>3</v>
      </c>
      <c r="E96" s="18" t="n">
        <f aca="false">D96/SUMIFS($K$6:$K$728,$I$6:$I$728,A96)</f>
        <v>0.0222222222222222</v>
      </c>
      <c r="F96" s="18" t="n">
        <f aca="false">SUM(D$90:D96)/SUMIFS($K$6:$K$728,$I$6:$I$728,A96)</f>
        <v>0.681481481481482</v>
      </c>
      <c r="G96" s="19"/>
      <c r="I96" s="8" t="s">
        <v>13</v>
      </c>
      <c r="J96" s="8" t="s">
        <v>176</v>
      </c>
      <c r="K96" s="9" t="n">
        <v>3</v>
      </c>
      <c r="L96" s="8" t="n">
        <f aca="false">COUNTIFS($I$6:$I$728,I96,$K$6:$K$728,"&gt;"&amp;K96)+1</f>
        <v>34</v>
      </c>
      <c r="M96" s="10" t="n">
        <f aca="false">K96/SUMIFS($K$6:$K$728,$I$6:$I$728,I96)</f>
        <v>0.00343642611683849</v>
      </c>
    </row>
    <row r="97" customFormat="false" ht="15" hidden="false" customHeight="false" outlineLevel="0" collapsed="false">
      <c r="A97" s="16" t="s">
        <v>27</v>
      </c>
      <c r="B97" s="16" t="n">
        <v>8</v>
      </c>
      <c r="C97" s="16" t="s">
        <v>177</v>
      </c>
      <c r="D97" s="17" t="n">
        <f aca="false">SUMIFS($K$6:$K$728,$I$6:$I$728,A97,$J$6:$J$728,C97)</f>
        <v>3</v>
      </c>
      <c r="E97" s="18" t="n">
        <f aca="false">D97/SUMIFS($K$6:$K$728,$I$6:$I$728,A97)</f>
        <v>0.0222222222222222</v>
      </c>
      <c r="F97" s="18" t="n">
        <f aca="false">SUM(D$90:D97)/SUMIFS($K$6:$K$728,$I$6:$I$728,A97)</f>
        <v>0.703703703703704</v>
      </c>
      <c r="G97" s="19"/>
      <c r="I97" s="8" t="s">
        <v>13</v>
      </c>
      <c r="J97" s="8" t="s">
        <v>178</v>
      </c>
      <c r="K97" s="9" t="n">
        <v>3</v>
      </c>
      <c r="L97" s="8" t="n">
        <f aca="false">COUNTIFS($I$6:$I$728,I97,$K$6:$K$728,"&gt;"&amp;K97)+1</f>
        <v>34</v>
      </c>
      <c r="M97" s="10" t="n">
        <f aca="false">K97/SUMIFS($K$6:$K$728,$I$6:$I$728,I97)</f>
        <v>0.00343642611683849</v>
      </c>
    </row>
    <row r="98" customFormat="false" ht="15" hidden="false" customHeight="false" outlineLevel="0" collapsed="false">
      <c r="A98" s="16" t="s">
        <v>27</v>
      </c>
      <c r="B98" s="16" t="n">
        <v>9</v>
      </c>
      <c r="C98" s="16" t="s">
        <v>179</v>
      </c>
      <c r="D98" s="17" t="n">
        <f aca="false">SUMIFS($K$6:$K$728,$I$6:$I$728,A98,$J$6:$J$728,C98)</f>
        <v>3</v>
      </c>
      <c r="E98" s="18" t="n">
        <f aca="false">D98/SUMIFS($K$6:$K$728,$I$6:$I$728,A98)</f>
        <v>0.0222222222222222</v>
      </c>
      <c r="F98" s="18" t="n">
        <f aca="false">SUM(D$90:D98)/SUMIFS($K$6:$K$728,$I$6:$I$728,A98)</f>
        <v>0.725925925925926</v>
      </c>
      <c r="G98" s="19"/>
      <c r="I98" s="8" t="s">
        <v>13</v>
      </c>
      <c r="J98" s="8" t="s">
        <v>180</v>
      </c>
      <c r="K98" s="9" t="n">
        <v>3</v>
      </c>
      <c r="L98" s="8" t="n">
        <f aca="false">COUNTIFS($I$6:$I$728,I98,$K$6:$K$728,"&gt;"&amp;K98)+1</f>
        <v>34</v>
      </c>
      <c r="M98" s="10" t="n">
        <f aca="false">K98/SUMIFS($K$6:$K$728,$I$6:$I$728,I98)</f>
        <v>0.00343642611683849</v>
      </c>
    </row>
    <row r="99" customFormat="false" ht="15" hidden="false" customHeight="false" outlineLevel="0" collapsed="false">
      <c r="A99" s="16" t="s">
        <v>27</v>
      </c>
      <c r="B99" s="16" t="n">
        <v>10</v>
      </c>
      <c r="C99" s="16" t="s">
        <v>181</v>
      </c>
      <c r="D99" s="17" t="n">
        <f aca="false">SUMIFS($K$6:$K$728,$I$6:$I$728,A99,$J$6:$J$728,C99)</f>
        <v>2</v>
      </c>
      <c r="E99" s="18" t="n">
        <f aca="false">D99/SUMIFS($K$6:$K$728,$I$6:$I$728,A99)</f>
        <v>0.0148148148148148</v>
      </c>
      <c r="F99" s="18" t="n">
        <f aca="false">SUM(D$90:D99)/SUMIFS($K$6:$K$728,$I$6:$I$728,A99)</f>
        <v>0.740740740740741</v>
      </c>
      <c r="G99" s="21" t="s">
        <v>182</v>
      </c>
      <c r="I99" s="8" t="s">
        <v>13</v>
      </c>
      <c r="J99" s="8" t="s">
        <v>183</v>
      </c>
      <c r="K99" s="9" t="n">
        <v>3</v>
      </c>
      <c r="L99" s="8" t="n">
        <f aca="false">COUNTIFS($I$6:$I$728,I99,$K$6:$K$728,"&gt;"&amp;K99)+1</f>
        <v>34</v>
      </c>
      <c r="M99" s="10" t="n">
        <f aca="false">K99/SUMIFS($K$6:$K$728,$I$6:$I$728,I99)</f>
        <v>0.00343642611683849</v>
      </c>
    </row>
    <row r="100" customFormat="false" ht="15" hidden="false" customHeight="false" outlineLevel="0" collapsed="false">
      <c r="A100" s="14" t="s">
        <v>29</v>
      </c>
      <c r="B100" s="14" t="n">
        <v>1</v>
      </c>
      <c r="C100" s="14" t="s">
        <v>184</v>
      </c>
      <c r="D100" s="6" t="n">
        <f aca="false">SUMIFS($K$6:$K$728,$I$6:$I$728,A100,$J$6:$J$728,C100)</f>
        <v>36</v>
      </c>
      <c r="E100" s="7" t="n">
        <f aca="false">D100/SUMIFS($K$6:$K$728,$I$6:$I$728,A100)</f>
        <v>0.321428571428571</v>
      </c>
      <c r="F100" s="7" t="n">
        <f aca="false">SUM(D$100:D100)/SUMIFS($K$6:$K$728,$I$6:$I$728,A100)</f>
        <v>0.321428571428571</v>
      </c>
      <c r="G100" s="15"/>
      <c r="I100" s="8" t="s">
        <v>13</v>
      </c>
      <c r="J100" s="8" t="s">
        <v>185</v>
      </c>
      <c r="K100" s="9" t="n">
        <v>3</v>
      </c>
      <c r="L100" s="8" t="n">
        <f aca="false">COUNTIFS($I$6:$I$728,I100,$K$6:$K$728,"&gt;"&amp;K100)+1</f>
        <v>34</v>
      </c>
      <c r="M100" s="10" t="n">
        <f aca="false">K100/SUMIFS($K$6:$K$728,$I$6:$I$728,I100)</f>
        <v>0.00343642611683849</v>
      </c>
    </row>
    <row r="101" customFormat="false" ht="15" hidden="false" customHeight="false" outlineLevel="0" collapsed="false">
      <c r="A101" s="14" t="s">
        <v>29</v>
      </c>
      <c r="B101" s="14" t="n">
        <v>2</v>
      </c>
      <c r="C101" s="14" t="s">
        <v>186</v>
      </c>
      <c r="D101" s="6" t="n">
        <f aca="false">SUMIFS($K$6:$K$728,$I$6:$I$728,A101,$J$6:$J$728,C101)</f>
        <v>21</v>
      </c>
      <c r="E101" s="7" t="n">
        <f aca="false">D101/SUMIFS($K$6:$K$728,$I$6:$I$728,A101)</f>
        <v>0.1875</v>
      </c>
      <c r="F101" s="7" t="n">
        <f aca="false">SUM(D$100:D101)/SUMIFS($K$6:$K$728,$I$6:$I$728,A101)</f>
        <v>0.508928571428571</v>
      </c>
      <c r="G101" s="15"/>
      <c r="I101" s="8" t="s">
        <v>13</v>
      </c>
      <c r="J101" s="8" t="s">
        <v>187</v>
      </c>
      <c r="K101" s="9" t="n">
        <v>3</v>
      </c>
      <c r="L101" s="8" t="n">
        <f aca="false">COUNTIFS($I$6:$I$728,I101,$K$6:$K$728,"&gt;"&amp;K101)+1</f>
        <v>34</v>
      </c>
      <c r="M101" s="10" t="n">
        <f aca="false">K101/SUMIFS($K$6:$K$728,$I$6:$I$728,I101)</f>
        <v>0.00343642611683849</v>
      </c>
    </row>
    <row r="102" customFormat="false" ht="15" hidden="false" customHeight="false" outlineLevel="0" collapsed="false">
      <c r="A102" s="14" t="s">
        <v>29</v>
      </c>
      <c r="B102" s="14" t="n">
        <v>3</v>
      </c>
      <c r="C102" s="14" t="s">
        <v>188</v>
      </c>
      <c r="D102" s="6" t="n">
        <f aca="false">SUMIFS($K$6:$K$728,$I$6:$I$728,A102,$J$6:$J$728,C102)</f>
        <v>7</v>
      </c>
      <c r="E102" s="7" t="n">
        <f aca="false">D102/SUMIFS($K$6:$K$728,$I$6:$I$728,A102)</f>
        <v>0.0625</v>
      </c>
      <c r="F102" s="7" t="n">
        <f aca="false">SUM(D$100:D102)/SUMIFS($K$6:$K$728,$I$6:$I$728,A102)</f>
        <v>0.571428571428571</v>
      </c>
      <c r="G102" s="15"/>
      <c r="I102" s="8" t="s">
        <v>13</v>
      </c>
      <c r="J102" s="8" t="s">
        <v>189</v>
      </c>
      <c r="K102" s="9" t="n">
        <v>3</v>
      </c>
      <c r="L102" s="8" t="n">
        <f aca="false">COUNTIFS($I$6:$I$728,I102,$K$6:$K$728,"&gt;"&amp;K102)+1</f>
        <v>34</v>
      </c>
      <c r="M102" s="10" t="n">
        <f aca="false">K102/SUMIFS($K$6:$K$728,$I$6:$I$728,I102)</f>
        <v>0.00343642611683849</v>
      </c>
    </row>
    <row r="103" customFormat="false" ht="15" hidden="false" customHeight="false" outlineLevel="0" collapsed="false">
      <c r="A103" s="14" t="s">
        <v>29</v>
      </c>
      <c r="B103" s="14" t="n">
        <v>4</v>
      </c>
      <c r="C103" s="14" t="s">
        <v>190</v>
      </c>
      <c r="D103" s="6" t="n">
        <f aca="false">SUMIFS($K$6:$K$728,$I$6:$I$728,A103,$J$6:$J$728,C103)</f>
        <v>5</v>
      </c>
      <c r="E103" s="7" t="n">
        <f aca="false">D103/SUMIFS($K$6:$K$728,$I$6:$I$728,A103)</f>
        <v>0.0446428571428571</v>
      </c>
      <c r="F103" s="7" t="n">
        <f aca="false">SUM(D$100:D103)/SUMIFS($K$6:$K$728,$I$6:$I$728,A103)</f>
        <v>0.616071428571429</v>
      </c>
      <c r="G103" s="15"/>
      <c r="I103" s="8" t="s">
        <v>13</v>
      </c>
      <c r="J103" s="8" t="s">
        <v>191</v>
      </c>
      <c r="K103" s="9" t="n">
        <v>3</v>
      </c>
      <c r="L103" s="8" t="n">
        <f aca="false">COUNTIFS($I$6:$I$728,I103,$K$6:$K$728,"&gt;"&amp;K103)+1</f>
        <v>34</v>
      </c>
      <c r="M103" s="10" t="n">
        <f aca="false">K103/SUMIFS($K$6:$K$728,$I$6:$I$728,I103)</f>
        <v>0.00343642611683849</v>
      </c>
    </row>
    <row r="104" customFormat="false" ht="15" hidden="false" customHeight="false" outlineLevel="0" collapsed="false">
      <c r="A104" s="14" t="s">
        <v>29</v>
      </c>
      <c r="B104" s="14" t="n">
        <v>5</v>
      </c>
      <c r="C104" s="14" t="s">
        <v>192</v>
      </c>
      <c r="D104" s="6" t="n">
        <f aca="false">SUMIFS($K$6:$K$728,$I$6:$I$728,A104,$J$6:$J$728,C104)</f>
        <v>4</v>
      </c>
      <c r="E104" s="7" t="n">
        <f aca="false">D104/SUMIFS($K$6:$K$728,$I$6:$I$728,A104)</f>
        <v>0.0357142857142857</v>
      </c>
      <c r="F104" s="7" t="n">
        <f aca="false">SUM(D$100:D104)/SUMIFS($K$6:$K$728,$I$6:$I$728,A104)</f>
        <v>0.651785714285714</v>
      </c>
      <c r="G104" s="15"/>
      <c r="I104" s="8" t="s">
        <v>13</v>
      </c>
      <c r="J104" s="8" t="s">
        <v>193</v>
      </c>
      <c r="K104" s="9" t="n">
        <v>3</v>
      </c>
      <c r="L104" s="8" t="n">
        <f aca="false">COUNTIFS($I$6:$I$728,I104,$K$6:$K$728,"&gt;"&amp;K104)+1</f>
        <v>34</v>
      </c>
      <c r="M104" s="10" t="n">
        <f aca="false">K104/SUMIFS($K$6:$K$728,$I$6:$I$728,I104)</f>
        <v>0.00343642611683849</v>
      </c>
    </row>
    <row r="105" customFormat="false" ht="15" hidden="false" customHeight="false" outlineLevel="0" collapsed="false">
      <c r="A105" s="14" t="s">
        <v>29</v>
      </c>
      <c r="B105" s="14" t="n">
        <v>6</v>
      </c>
      <c r="C105" s="14" t="s">
        <v>194</v>
      </c>
      <c r="D105" s="6" t="n">
        <f aca="false">SUMIFS($K$6:$K$728,$I$6:$I$728,A105,$J$6:$J$728,C105)</f>
        <v>4</v>
      </c>
      <c r="E105" s="7" t="n">
        <f aca="false">D105/SUMIFS($K$6:$K$728,$I$6:$I$728,A105)</f>
        <v>0.0357142857142857</v>
      </c>
      <c r="F105" s="7" t="n">
        <f aca="false">SUM(D$100:D105)/SUMIFS($K$6:$K$728,$I$6:$I$728,A105)</f>
        <v>0.6875</v>
      </c>
      <c r="G105" s="15"/>
      <c r="I105" s="8" t="s">
        <v>13</v>
      </c>
      <c r="J105" s="8" t="s">
        <v>195</v>
      </c>
      <c r="K105" s="9" t="n">
        <v>3</v>
      </c>
      <c r="L105" s="8" t="n">
        <f aca="false">COUNTIFS($I$6:$I$728,I105,$K$6:$K$728,"&gt;"&amp;K105)+1</f>
        <v>34</v>
      </c>
      <c r="M105" s="10" t="n">
        <f aca="false">K105/SUMIFS($K$6:$K$728,$I$6:$I$728,I105)</f>
        <v>0.00343642611683849</v>
      </c>
    </row>
    <row r="106" customFormat="false" ht="15" hidden="false" customHeight="false" outlineLevel="0" collapsed="false">
      <c r="A106" s="14" t="s">
        <v>29</v>
      </c>
      <c r="B106" s="14" t="n">
        <v>7</v>
      </c>
      <c r="C106" s="14" t="s">
        <v>196</v>
      </c>
      <c r="D106" s="6" t="n">
        <f aca="false">SUMIFS($K$6:$K$728,$I$6:$I$728,A106,$J$6:$J$728,C106)</f>
        <v>3</v>
      </c>
      <c r="E106" s="7" t="n">
        <f aca="false">D106/SUMIFS($K$6:$K$728,$I$6:$I$728,A106)</f>
        <v>0.0267857142857143</v>
      </c>
      <c r="F106" s="7" t="n">
        <f aca="false">SUM(D$100:D106)/SUMIFS($K$6:$K$728,$I$6:$I$728,A106)</f>
        <v>0.714285714285714</v>
      </c>
      <c r="G106" s="15"/>
      <c r="I106" s="8" t="s">
        <v>13</v>
      </c>
      <c r="J106" s="8" t="s">
        <v>197</v>
      </c>
      <c r="K106" s="9" t="n">
        <v>3</v>
      </c>
      <c r="L106" s="8" t="n">
        <f aca="false">COUNTIFS($I$6:$I$728,I106,$K$6:$K$728,"&gt;"&amp;K106)+1</f>
        <v>34</v>
      </c>
      <c r="M106" s="10" t="n">
        <f aca="false">K106/SUMIFS($K$6:$K$728,$I$6:$I$728,I106)</f>
        <v>0.00343642611683849</v>
      </c>
    </row>
    <row r="107" customFormat="false" ht="15" hidden="false" customHeight="false" outlineLevel="0" collapsed="false">
      <c r="A107" s="14" t="s">
        <v>29</v>
      </c>
      <c r="B107" s="14" t="n">
        <v>8</v>
      </c>
      <c r="C107" s="14" t="s">
        <v>198</v>
      </c>
      <c r="D107" s="6" t="n">
        <f aca="false">SUMIFS($K$6:$K$728,$I$6:$I$728,A107,$J$6:$J$728,C107)</f>
        <v>3</v>
      </c>
      <c r="E107" s="7" t="n">
        <f aca="false">D107/SUMIFS($K$6:$K$728,$I$6:$I$728,A107)</f>
        <v>0.0267857142857143</v>
      </c>
      <c r="F107" s="7" t="n">
        <f aca="false">SUM(D$100:D107)/SUMIFS($K$6:$K$728,$I$6:$I$728,A107)</f>
        <v>0.741071428571429</v>
      </c>
      <c r="G107" s="15"/>
      <c r="I107" s="8" t="s">
        <v>13</v>
      </c>
      <c r="J107" s="8" t="s">
        <v>199</v>
      </c>
      <c r="K107" s="9" t="n">
        <v>3</v>
      </c>
      <c r="L107" s="8" t="n">
        <f aca="false">COUNTIFS($I$6:$I$728,I107,$K$6:$K$728,"&gt;"&amp;K107)+1</f>
        <v>34</v>
      </c>
      <c r="M107" s="10" t="n">
        <f aca="false">K107/SUMIFS($K$6:$K$728,$I$6:$I$728,I107)</f>
        <v>0.00343642611683849</v>
      </c>
    </row>
    <row r="108" customFormat="false" ht="15" hidden="false" customHeight="false" outlineLevel="0" collapsed="false">
      <c r="A108" s="14" t="s">
        <v>29</v>
      </c>
      <c r="B108" s="14" t="n">
        <v>9</v>
      </c>
      <c r="C108" s="14" t="s">
        <v>200</v>
      </c>
      <c r="D108" s="6" t="n">
        <f aca="false">SUMIFS($K$6:$K$728,$I$6:$I$728,A108,$J$6:$J$728,C108)</f>
        <v>3</v>
      </c>
      <c r="E108" s="7" t="n">
        <f aca="false">D108/SUMIFS($K$6:$K$728,$I$6:$I$728,A108)</f>
        <v>0.0267857142857143</v>
      </c>
      <c r="F108" s="7" t="n">
        <f aca="false">SUM(D$100:D108)/SUMIFS($K$6:$K$728,$I$6:$I$728,A108)</f>
        <v>0.767857142857143</v>
      </c>
      <c r="G108" s="15"/>
      <c r="I108" s="8" t="s">
        <v>13</v>
      </c>
      <c r="J108" s="8" t="s">
        <v>201</v>
      </c>
      <c r="K108" s="9" t="n">
        <v>3</v>
      </c>
      <c r="L108" s="8" t="n">
        <f aca="false">COUNTIFS($I$6:$I$728,I108,$K$6:$K$728,"&gt;"&amp;K108)+1</f>
        <v>34</v>
      </c>
      <c r="M108" s="10" t="n">
        <f aca="false">K108/SUMIFS($K$6:$K$728,$I$6:$I$728,I108)</f>
        <v>0.00343642611683849</v>
      </c>
    </row>
    <row r="109" customFormat="false" ht="15" hidden="false" customHeight="false" outlineLevel="0" collapsed="false">
      <c r="A109" s="14" t="s">
        <v>29</v>
      </c>
      <c r="B109" s="14" t="n">
        <v>10</v>
      </c>
      <c r="C109" s="14" t="s">
        <v>202</v>
      </c>
      <c r="D109" s="6" t="n">
        <f aca="false">SUMIFS($K$6:$K$728,$I$6:$I$728,A109,$J$6:$J$728,C109)</f>
        <v>1</v>
      </c>
      <c r="E109" s="7" t="n">
        <f aca="false">D109/SUMIFS($K$6:$K$728,$I$6:$I$728,A109)</f>
        <v>0.00892857142857143</v>
      </c>
      <c r="F109" s="7" t="n">
        <f aca="false">SUM(D$100:D109)/SUMIFS($K$6:$K$728,$I$6:$I$728,A109)</f>
        <v>0.776785714285714</v>
      </c>
      <c r="G109" s="20" t="s">
        <v>203</v>
      </c>
      <c r="I109" s="8" t="s">
        <v>13</v>
      </c>
      <c r="J109" s="8" t="s">
        <v>204</v>
      </c>
      <c r="K109" s="9" t="n">
        <v>3</v>
      </c>
      <c r="L109" s="8" t="n">
        <f aca="false">COUNTIFS($I$6:$I$728,I109,$K$6:$K$728,"&gt;"&amp;K109)+1</f>
        <v>34</v>
      </c>
      <c r="M109" s="10" t="n">
        <f aca="false">K109/SUMIFS($K$6:$K$728,$I$6:$I$728,I109)</f>
        <v>0.00343642611683849</v>
      </c>
    </row>
    <row r="110" customFormat="false" ht="15" hidden="false" customHeight="false" outlineLevel="0" collapsed="false">
      <c r="I110" s="8" t="s">
        <v>13</v>
      </c>
      <c r="J110" s="8" t="s">
        <v>205</v>
      </c>
      <c r="K110" s="9" t="n">
        <v>3</v>
      </c>
      <c r="L110" s="8" t="n">
        <f aca="false">COUNTIFS($I$6:$I$728,I110,$K$6:$K$728,"&gt;"&amp;K110)+1</f>
        <v>34</v>
      </c>
      <c r="M110" s="10" t="n">
        <f aca="false">K110/SUMIFS($K$6:$K$728,$I$6:$I$728,I110)</f>
        <v>0.00343642611683849</v>
      </c>
    </row>
    <row r="111" customFormat="false" ht="15" hidden="false" customHeight="false" outlineLevel="0" collapsed="false">
      <c r="I111" s="8" t="s">
        <v>13</v>
      </c>
      <c r="J111" s="8" t="s">
        <v>206</v>
      </c>
      <c r="K111" s="9" t="n">
        <v>2</v>
      </c>
      <c r="L111" s="8" t="n">
        <f aca="false">COUNTIFS($I$6:$I$728,I111,$K$6:$K$728,"&gt;"&amp;K111)+1</f>
        <v>51</v>
      </c>
      <c r="M111" s="10" t="n">
        <f aca="false">K111/SUMIFS($K$6:$K$728,$I$6:$I$728,I111)</f>
        <v>0.00229095074455899</v>
      </c>
    </row>
    <row r="112" customFormat="false" ht="15" hidden="false" customHeight="false" outlineLevel="0" collapsed="false">
      <c r="I112" s="8" t="s">
        <v>13</v>
      </c>
      <c r="J112" s="8" t="s">
        <v>207</v>
      </c>
      <c r="K112" s="9" t="n">
        <v>2</v>
      </c>
      <c r="L112" s="8" t="n">
        <f aca="false">COUNTIFS($I$6:$I$728,I112,$K$6:$K$728,"&gt;"&amp;K112)+1</f>
        <v>51</v>
      </c>
      <c r="M112" s="10" t="n">
        <f aca="false">K112/SUMIFS($K$6:$K$728,$I$6:$I$728,I112)</f>
        <v>0.00229095074455899</v>
      </c>
    </row>
    <row r="113" customFormat="false" ht="15" hidden="false" customHeight="false" outlineLevel="0" collapsed="false">
      <c r="I113" s="8" t="s">
        <v>13</v>
      </c>
      <c r="J113" s="8" t="s">
        <v>208</v>
      </c>
      <c r="K113" s="9" t="n">
        <v>2</v>
      </c>
      <c r="L113" s="8" t="n">
        <f aca="false">COUNTIFS($I$6:$I$728,I113,$K$6:$K$728,"&gt;"&amp;K113)+1</f>
        <v>51</v>
      </c>
      <c r="M113" s="10" t="n">
        <f aca="false">K113/SUMIFS($K$6:$K$728,$I$6:$I$728,I113)</f>
        <v>0.00229095074455899</v>
      </c>
    </row>
    <row r="114" customFormat="false" ht="15" hidden="false" customHeight="false" outlineLevel="0" collapsed="false">
      <c r="I114" s="8" t="s">
        <v>13</v>
      </c>
      <c r="J114" s="8" t="s">
        <v>209</v>
      </c>
      <c r="K114" s="9" t="n">
        <v>2</v>
      </c>
      <c r="L114" s="8" t="n">
        <f aca="false">COUNTIFS($I$6:$I$728,I114,$K$6:$K$728,"&gt;"&amp;K114)+1</f>
        <v>51</v>
      </c>
      <c r="M114" s="10" t="n">
        <f aca="false">K114/SUMIFS($K$6:$K$728,$I$6:$I$728,I114)</f>
        <v>0.00229095074455899</v>
      </c>
    </row>
    <row r="115" customFormat="false" ht="15" hidden="false" customHeight="false" outlineLevel="0" collapsed="false">
      <c r="I115" s="8" t="s">
        <v>13</v>
      </c>
      <c r="J115" s="8" t="s">
        <v>210</v>
      </c>
      <c r="K115" s="9" t="n">
        <v>2</v>
      </c>
      <c r="L115" s="8" t="n">
        <f aca="false">COUNTIFS($I$6:$I$728,I115,$K$6:$K$728,"&gt;"&amp;K115)+1</f>
        <v>51</v>
      </c>
      <c r="M115" s="10" t="n">
        <f aca="false">K115/SUMIFS($K$6:$K$728,$I$6:$I$728,I115)</f>
        <v>0.00229095074455899</v>
      </c>
    </row>
    <row r="116" customFormat="false" ht="15" hidden="false" customHeight="false" outlineLevel="0" collapsed="false">
      <c r="I116" s="8" t="s">
        <v>13</v>
      </c>
      <c r="J116" s="8" t="s">
        <v>211</v>
      </c>
      <c r="K116" s="9" t="n">
        <v>2</v>
      </c>
      <c r="L116" s="8" t="n">
        <f aca="false">COUNTIFS($I$6:$I$728,I116,$K$6:$K$728,"&gt;"&amp;K116)+1</f>
        <v>51</v>
      </c>
      <c r="M116" s="10" t="n">
        <f aca="false">K116/SUMIFS($K$6:$K$728,$I$6:$I$728,I116)</f>
        <v>0.00229095074455899</v>
      </c>
    </row>
    <row r="117" customFormat="false" ht="15" hidden="false" customHeight="false" outlineLevel="0" collapsed="false">
      <c r="I117" s="8" t="s">
        <v>13</v>
      </c>
      <c r="J117" s="8" t="s">
        <v>212</v>
      </c>
      <c r="K117" s="9" t="n">
        <v>2</v>
      </c>
      <c r="L117" s="8" t="n">
        <f aca="false">COUNTIFS($I$6:$I$728,I117,$K$6:$K$728,"&gt;"&amp;K117)+1</f>
        <v>51</v>
      </c>
      <c r="M117" s="10" t="n">
        <f aca="false">K117/SUMIFS($K$6:$K$728,$I$6:$I$728,I117)</f>
        <v>0.00229095074455899</v>
      </c>
    </row>
    <row r="118" customFormat="false" ht="15" hidden="false" customHeight="false" outlineLevel="0" collapsed="false">
      <c r="I118" s="8" t="s">
        <v>13</v>
      </c>
      <c r="J118" s="8" t="s">
        <v>213</v>
      </c>
      <c r="K118" s="9" t="n">
        <v>2</v>
      </c>
      <c r="L118" s="8" t="n">
        <f aca="false">COUNTIFS($I$6:$I$728,I118,$K$6:$K$728,"&gt;"&amp;K118)+1</f>
        <v>51</v>
      </c>
      <c r="M118" s="10" t="n">
        <f aca="false">K118/SUMIFS($K$6:$K$728,$I$6:$I$728,I118)</f>
        <v>0.00229095074455899</v>
      </c>
    </row>
    <row r="119" customFormat="false" ht="15" hidden="false" customHeight="false" outlineLevel="0" collapsed="false">
      <c r="I119" s="8" t="s">
        <v>13</v>
      </c>
      <c r="J119" s="8" t="s">
        <v>214</v>
      </c>
      <c r="K119" s="9" t="n">
        <v>2</v>
      </c>
      <c r="L119" s="8" t="n">
        <f aca="false">COUNTIFS($I$6:$I$728,I119,$K$6:$K$728,"&gt;"&amp;K119)+1</f>
        <v>51</v>
      </c>
      <c r="M119" s="10" t="n">
        <f aca="false">K119/SUMIFS($K$6:$K$728,$I$6:$I$728,I119)</f>
        <v>0.00229095074455899</v>
      </c>
    </row>
    <row r="120" customFormat="false" ht="15" hidden="false" customHeight="false" outlineLevel="0" collapsed="false">
      <c r="I120" s="8" t="s">
        <v>13</v>
      </c>
      <c r="J120" s="8" t="s">
        <v>215</v>
      </c>
      <c r="K120" s="9" t="n">
        <v>2</v>
      </c>
      <c r="L120" s="8" t="n">
        <f aca="false">COUNTIFS($I$6:$I$728,I120,$K$6:$K$728,"&gt;"&amp;K120)+1</f>
        <v>51</v>
      </c>
      <c r="M120" s="10" t="n">
        <f aca="false">K120/SUMIFS($K$6:$K$728,$I$6:$I$728,I120)</f>
        <v>0.00229095074455899</v>
      </c>
    </row>
    <row r="121" customFormat="false" ht="15" hidden="false" customHeight="false" outlineLevel="0" collapsed="false">
      <c r="I121" s="8" t="s">
        <v>13</v>
      </c>
      <c r="J121" s="8" t="s">
        <v>216</v>
      </c>
      <c r="K121" s="9" t="n">
        <v>2</v>
      </c>
      <c r="L121" s="8" t="n">
        <f aca="false">COUNTIFS($I$6:$I$728,I121,$K$6:$K$728,"&gt;"&amp;K121)+1</f>
        <v>51</v>
      </c>
      <c r="M121" s="10" t="n">
        <f aca="false">K121/SUMIFS($K$6:$K$728,$I$6:$I$728,I121)</f>
        <v>0.00229095074455899</v>
      </c>
    </row>
    <row r="122" customFormat="false" ht="15" hidden="false" customHeight="false" outlineLevel="0" collapsed="false">
      <c r="I122" s="8" t="s">
        <v>13</v>
      </c>
      <c r="J122" s="8" t="s">
        <v>217</v>
      </c>
      <c r="K122" s="9" t="n">
        <v>2</v>
      </c>
      <c r="L122" s="8" t="n">
        <f aca="false">COUNTIFS($I$6:$I$728,I122,$K$6:$K$728,"&gt;"&amp;K122)+1</f>
        <v>51</v>
      </c>
      <c r="M122" s="10" t="n">
        <f aca="false">K122/SUMIFS($K$6:$K$728,$I$6:$I$728,I122)</f>
        <v>0.00229095074455899</v>
      </c>
    </row>
    <row r="123" customFormat="false" ht="15" hidden="false" customHeight="false" outlineLevel="0" collapsed="false">
      <c r="I123" s="8" t="s">
        <v>13</v>
      </c>
      <c r="J123" s="8" t="s">
        <v>218</v>
      </c>
      <c r="K123" s="9" t="n">
        <v>2</v>
      </c>
      <c r="L123" s="8" t="n">
        <f aca="false">COUNTIFS($I$6:$I$728,I123,$K$6:$K$728,"&gt;"&amp;K123)+1</f>
        <v>51</v>
      </c>
      <c r="M123" s="10" t="n">
        <f aca="false">K123/SUMIFS($K$6:$K$728,$I$6:$I$728,I123)</f>
        <v>0.00229095074455899</v>
      </c>
    </row>
    <row r="124" customFormat="false" ht="15" hidden="false" customHeight="false" outlineLevel="0" collapsed="false">
      <c r="I124" s="8" t="s">
        <v>13</v>
      </c>
      <c r="J124" s="8" t="s">
        <v>219</v>
      </c>
      <c r="K124" s="9" t="n">
        <v>2</v>
      </c>
      <c r="L124" s="8" t="n">
        <f aca="false">COUNTIFS($I$6:$I$728,I124,$K$6:$K$728,"&gt;"&amp;K124)+1</f>
        <v>51</v>
      </c>
      <c r="M124" s="10" t="n">
        <f aca="false">K124/SUMIFS($K$6:$K$728,$I$6:$I$728,I124)</f>
        <v>0.00229095074455899</v>
      </c>
    </row>
    <row r="125" customFormat="false" ht="15" hidden="false" customHeight="false" outlineLevel="0" collapsed="false">
      <c r="I125" s="8" t="s">
        <v>13</v>
      </c>
      <c r="J125" s="8" t="s">
        <v>220</v>
      </c>
      <c r="K125" s="9" t="n">
        <v>2</v>
      </c>
      <c r="L125" s="8" t="n">
        <f aca="false">COUNTIFS($I$6:$I$728,I125,$K$6:$K$728,"&gt;"&amp;K125)+1</f>
        <v>51</v>
      </c>
      <c r="M125" s="10" t="n">
        <f aca="false">K125/SUMIFS($K$6:$K$728,$I$6:$I$728,I125)</f>
        <v>0.00229095074455899</v>
      </c>
    </row>
    <row r="126" customFormat="false" ht="15" hidden="false" customHeight="false" outlineLevel="0" collapsed="false">
      <c r="I126" s="8" t="s">
        <v>13</v>
      </c>
      <c r="J126" s="8" t="s">
        <v>221</v>
      </c>
      <c r="K126" s="9" t="n">
        <v>2</v>
      </c>
      <c r="L126" s="8" t="n">
        <f aca="false">COUNTIFS($I$6:$I$728,I126,$K$6:$K$728,"&gt;"&amp;K126)+1</f>
        <v>51</v>
      </c>
      <c r="M126" s="10" t="n">
        <f aca="false">K126/SUMIFS($K$6:$K$728,$I$6:$I$728,I126)</f>
        <v>0.00229095074455899</v>
      </c>
    </row>
    <row r="127" customFormat="false" ht="15" hidden="false" customHeight="false" outlineLevel="0" collapsed="false">
      <c r="I127" s="8" t="s">
        <v>13</v>
      </c>
      <c r="J127" s="8" t="s">
        <v>222</v>
      </c>
      <c r="K127" s="9" t="n">
        <v>2</v>
      </c>
      <c r="L127" s="8" t="n">
        <f aca="false">COUNTIFS($I$6:$I$728,I127,$K$6:$K$728,"&gt;"&amp;K127)+1</f>
        <v>51</v>
      </c>
      <c r="M127" s="10" t="n">
        <f aca="false">K127/SUMIFS($K$6:$K$728,$I$6:$I$728,I127)</f>
        <v>0.00229095074455899</v>
      </c>
    </row>
    <row r="128" customFormat="false" ht="15" hidden="false" customHeight="false" outlineLevel="0" collapsed="false">
      <c r="I128" s="8" t="s">
        <v>13</v>
      </c>
      <c r="J128" s="8" t="s">
        <v>223</v>
      </c>
      <c r="K128" s="9" t="n">
        <v>2</v>
      </c>
      <c r="L128" s="8" t="n">
        <f aca="false">COUNTIFS($I$6:$I$728,I128,$K$6:$K$728,"&gt;"&amp;K128)+1</f>
        <v>51</v>
      </c>
      <c r="M128" s="10" t="n">
        <f aca="false">K128/SUMIFS($K$6:$K$728,$I$6:$I$728,I128)</f>
        <v>0.00229095074455899</v>
      </c>
    </row>
    <row r="129" customFormat="false" ht="15" hidden="false" customHeight="false" outlineLevel="0" collapsed="false">
      <c r="I129" s="8" t="s">
        <v>13</v>
      </c>
      <c r="J129" s="8" t="s">
        <v>224</v>
      </c>
      <c r="K129" s="9" t="n">
        <v>2</v>
      </c>
      <c r="L129" s="8" t="n">
        <f aca="false">COUNTIFS($I$6:$I$728,I129,$K$6:$K$728,"&gt;"&amp;K129)+1</f>
        <v>51</v>
      </c>
      <c r="M129" s="10" t="n">
        <f aca="false">K129/SUMIFS($K$6:$K$728,$I$6:$I$728,I129)</f>
        <v>0.00229095074455899</v>
      </c>
    </row>
    <row r="130" customFormat="false" ht="15" hidden="false" customHeight="false" outlineLevel="0" collapsed="false">
      <c r="I130" s="8" t="s">
        <v>13</v>
      </c>
      <c r="J130" s="8" t="s">
        <v>225</v>
      </c>
      <c r="K130" s="9" t="n">
        <v>2</v>
      </c>
      <c r="L130" s="8" t="n">
        <f aca="false">COUNTIFS($I$6:$I$728,I130,$K$6:$K$728,"&gt;"&amp;K130)+1</f>
        <v>51</v>
      </c>
      <c r="M130" s="10" t="n">
        <f aca="false">K130/SUMIFS($K$6:$K$728,$I$6:$I$728,I130)</f>
        <v>0.00229095074455899</v>
      </c>
    </row>
    <row r="131" customFormat="false" ht="15" hidden="false" customHeight="false" outlineLevel="0" collapsed="false">
      <c r="I131" s="8" t="s">
        <v>13</v>
      </c>
      <c r="J131" s="8" t="s">
        <v>226</v>
      </c>
      <c r="K131" s="9" t="n">
        <v>2</v>
      </c>
      <c r="L131" s="8" t="n">
        <f aca="false">COUNTIFS($I$6:$I$728,I131,$K$6:$K$728,"&gt;"&amp;K131)+1</f>
        <v>51</v>
      </c>
      <c r="M131" s="10" t="n">
        <f aca="false">K131/SUMIFS($K$6:$K$728,$I$6:$I$728,I131)</f>
        <v>0.00229095074455899</v>
      </c>
    </row>
    <row r="132" customFormat="false" ht="15" hidden="false" customHeight="false" outlineLevel="0" collapsed="false">
      <c r="I132" s="8" t="s">
        <v>13</v>
      </c>
      <c r="J132" s="8" t="s">
        <v>227</v>
      </c>
      <c r="K132" s="9" t="n">
        <v>2</v>
      </c>
      <c r="L132" s="8" t="n">
        <f aca="false">COUNTIFS($I$6:$I$728,I132,$K$6:$K$728,"&gt;"&amp;K132)+1</f>
        <v>51</v>
      </c>
      <c r="M132" s="10" t="n">
        <f aca="false">K132/SUMIFS($K$6:$K$728,$I$6:$I$728,I132)</f>
        <v>0.00229095074455899</v>
      </c>
    </row>
    <row r="133" customFormat="false" ht="15" hidden="false" customHeight="false" outlineLevel="0" collapsed="false">
      <c r="I133" s="8" t="s">
        <v>13</v>
      </c>
      <c r="J133" s="8" t="s">
        <v>228</v>
      </c>
      <c r="K133" s="9" t="n">
        <v>2</v>
      </c>
      <c r="L133" s="8" t="n">
        <f aca="false">COUNTIFS($I$6:$I$728,I133,$K$6:$K$728,"&gt;"&amp;K133)+1</f>
        <v>51</v>
      </c>
      <c r="M133" s="10" t="n">
        <f aca="false">K133/SUMIFS($K$6:$K$728,$I$6:$I$728,I133)</f>
        <v>0.00229095074455899</v>
      </c>
    </row>
    <row r="134" customFormat="false" ht="15" hidden="false" customHeight="false" outlineLevel="0" collapsed="false">
      <c r="I134" s="8" t="s">
        <v>13</v>
      </c>
      <c r="J134" s="8" t="s">
        <v>229</v>
      </c>
      <c r="K134" s="9" t="n">
        <v>2</v>
      </c>
      <c r="L134" s="8" t="n">
        <f aca="false">COUNTIFS($I$6:$I$728,I134,$K$6:$K$728,"&gt;"&amp;K134)+1</f>
        <v>51</v>
      </c>
      <c r="M134" s="10" t="n">
        <f aca="false">K134/SUMIFS($K$6:$K$728,$I$6:$I$728,I134)</f>
        <v>0.00229095074455899</v>
      </c>
    </row>
    <row r="135" customFormat="false" ht="15" hidden="false" customHeight="false" outlineLevel="0" collapsed="false">
      <c r="I135" s="8" t="s">
        <v>13</v>
      </c>
      <c r="J135" s="8" t="s">
        <v>230</v>
      </c>
      <c r="K135" s="9" t="n">
        <v>2</v>
      </c>
      <c r="L135" s="8" t="n">
        <f aca="false">COUNTIFS($I$6:$I$728,I135,$K$6:$K$728,"&gt;"&amp;K135)+1</f>
        <v>51</v>
      </c>
      <c r="M135" s="10" t="n">
        <f aca="false">K135/SUMIFS($K$6:$K$728,$I$6:$I$728,I135)</f>
        <v>0.00229095074455899</v>
      </c>
    </row>
    <row r="136" customFormat="false" ht="15" hidden="false" customHeight="false" outlineLevel="0" collapsed="false">
      <c r="I136" s="8" t="s">
        <v>13</v>
      </c>
      <c r="J136" s="8" t="s">
        <v>231</v>
      </c>
      <c r="K136" s="9" t="n">
        <v>2</v>
      </c>
      <c r="L136" s="8" t="n">
        <f aca="false">COUNTIFS($I$6:$I$728,I136,$K$6:$K$728,"&gt;"&amp;K136)+1</f>
        <v>51</v>
      </c>
      <c r="M136" s="10" t="n">
        <f aca="false">K136/SUMIFS($K$6:$K$728,$I$6:$I$728,I136)</f>
        <v>0.00229095074455899</v>
      </c>
    </row>
    <row r="137" customFormat="false" ht="15" hidden="false" customHeight="false" outlineLevel="0" collapsed="false">
      <c r="I137" s="8" t="s">
        <v>13</v>
      </c>
      <c r="J137" s="8" t="s">
        <v>232</v>
      </c>
      <c r="K137" s="9" t="n">
        <v>2</v>
      </c>
      <c r="L137" s="8" t="n">
        <f aca="false">COUNTIFS($I$6:$I$728,I137,$K$6:$K$728,"&gt;"&amp;K137)+1</f>
        <v>51</v>
      </c>
      <c r="M137" s="10" t="n">
        <f aca="false">K137/SUMIFS($K$6:$K$728,$I$6:$I$728,I137)</f>
        <v>0.00229095074455899</v>
      </c>
    </row>
    <row r="138" customFormat="false" ht="15" hidden="false" customHeight="false" outlineLevel="0" collapsed="false">
      <c r="I138" s="8" t="s">
        <v>13</v>
      </c>
      <c r="J138" s="8" t="s">
        <v>233</v>
      </c>
      <c r="K138" s="9" t="n">
        <v>2</v>
      </c>
      <c r="L138" s="8" t="n">
        <f aca="false">COUNTIFS($I$6:$I$728,I138,$K$6:$K$728,"&gt;"&amp;K138)+1</f>
        <v>51</v>
      </c>
      <c r="M138" s="10" t="n">
        <f aca="false">K138/SUMIFS($K$6:$K$728,$I$6:$I$728,I138)</f>
        <v>0.00229095074455899</v>
      </c>
    </row>
    <row r="139" customFormat="false" ht="15" hidden="false" customHeight="false" outlineLevel="0" collapsed="false">
      <c r="I139" s="8" t="s">
        <v>13</v>
      </c>
      <c r="J139" s="8" t="s">
        <v>234</v>
      </c>
      <c r="K139" s="9" t="n">
        <v>2</v>
      </c>
      <c r="L139" s="8" t="n">
        <f aca="false">COUNTIFS($I$6:$I$728,I139,$K$6:$K$728,"&gt;"&amp;K139)+1</f>
        <v>51</v>
      </c>
      <c r="M139" s="10" t="n">
        <f aca="false">K139/SUMIFS($K$6:$K$728,$I$6:$I$728,I139)</f>
        <v>0.00229095074455899</v>
      </c>
    </row>
    <row r="140" customFormat="false" ht="15" hidden="false" customHeight="false" outlineLevel="0" collapsed="false">
      <c r="I140" s="8" t="s">
        <v>13</v>
      </c>
      <c r="J140" s="8" t="s">
        <v>235</v>
      </c>
      <c r="K140" s="9" t="n">
        <v>2</v>
      </c>
      <c r="L140" s="8" t="n">
        <f aca="false">COUNTIFS($I$6:$I$728,I140,$K$6:$K$728,"&gt;"&amp;K140)+1</f>
        <v>51</v>
      </c>
      <c r="M140" s="10" t="n">
        <f aca="false">K140/SUMIFS($K$6:$K$728,$I$6:$I$728,I140)</f>
        <v>0.00229095074455899</v>
      </c>
    </row>
    <row r="141" customFormat="false" ht="15" hidden="false" customHeight="false" outlineLevel="0" collapsed="false">
      <c r="I141" s="8" t="s">
        <v>13</v>
      </c>
      <c r="J141" s="8" t="s">
        <v>236</v>
      </c>
      <c r="K141" s="9" t="n">
        <v>2</v>
      </c>
      <c r="L141" s="8" t="n">
        <f aca="false">COUNTIFS($I$6:$I$728,I141,$K$6:$K$728,"&gt;"&amp;K141)+1</f>
        <v>51</v>
      </c>
      <c r="M141" s="10" t="n">
        <f aca="false">K141/SUMIFS($K$6:$K$728,$I$6:$I$728,I141)</f>
        <v>0.00229095074455899</v>
      </c>
    </row>
    <row r="142" customFormat="false" ht="15" hidden="false" customHeight="false" outlineLevel="0" collapsed="false">
      <c r="I142" s="8" t="s">
        <v>13</v>
      </c>
      <c r="J142" s="8" t="s">
        <v>237</v>
      </c>
      <c r="K142" s="9" t="n">
        <v>2</v>
      </c>
      <c r="L142" s="8" t="n">
        <f aca="false">COUNTIFS($I$6:$I$728,I142,$K$6:$K$728,"&gt;"&amp;K142)+1</f>
        <v>51</v>
      </c>
      <c r="M142" s="10" t="n">
        <f aca="false">K142/SUMIFS($K$6:$K$728,$I$6:$I$728,I142)</f>
        <v>0.00229095074455899</v>
      </c>
    </row>
    <row r="143" customFormat="false" ht="15" hidden="false" customHeight="false" outlineLevel="0" collapsed="false">
      <c r="I143" s="8" t="s">
        <v>13</v>
      </c>
      <c r="J143" s="8" t="s">
        <v>238</v>
      </c>
      <c r="K143" s="9" t="n">
        <v>2</v>
      </c>
      <c r="L143" s="8" t="n">
        <f aca="false">COUNTIFS($I$6:$I$728,I143,$K$6:$K$728,"&gt;"&amp;K143)+1</f>
        <v>51</v>
      </c>
      <c r="M143" s="10" t="n">
        <f aca="false">K143/SUMIFS($K$6:$K$728,$I$6:$I$728,I143)</f>
        <v>0.00229095074455899</v>
      </c>
    </row>
    <row r="144" customFormat="false" ht="15" hidden="false" customHeight="false" outlineLevel="0" collapsed="false">
      <c r="I144" s="8" t="s">
        <v>13</v>
      </c>
      <c r="J144" s="8" t="s">
        <v>239</v>
      </c>
      <c r="K144" s="9" t="n">
        <v>2</v>
      </c>
      <c r="L144" s="8" t="n">
        <f aca="false">COUNTIFS($I$6:$I$728,I144,$K$6:$K$728,"&gt;"&amp;K144)+1</f>
        <v>51</v>
      </c>
      <c r="M144" s="10" t="n">
        <f aca="false">K144/SUMIFS($K$6:$K$728,$I$6:$I$728,I144)</f>
        <v>0.00229095074455899</v>
      </c>
    </row>
    <row r="145" customFormat="false" ht="15" hidden="false" customHeight="false" outlineLevel="0" collapsed="false">
      <c r="I145" s="8" t="s">
        <v>13</v>
      </c>
      <c r="J145" s="8" t="s">
        <v>240</v>
      </c>
      <c r="K145" s="9" t="n">
        <v>2</v>
      </c>
      <c r="L145" s="8" t="n">
        <f aca="false">COUNTIFS($I$6:$I$728,I145,$K$6:$K$728,"&gt;"&amp;K145)+1</f>
        <v>51</v>
      </c>
      <c r="M145" s="10" t="n">
        <f aca="false">K145/SUMIFS($K$6:$K$728,$I$6:$I$728,I145)</f>
        <v>0.00229095074455899</v>
      </c>
    </row>
    <row r="146" customFormat="false" ht="15" hidden="false" customHeight="false" outlineLevel="0" collapsed="false">
      <c r="I146" s="8" t="s">
        <v>13</v>
      </c>
      <c r="J146" s="8" t="s">
        <v>241</v>
      </c>
      <c r="K146" s="9" t="n">
        <v>2</v>
      </c>
      <c r="L146" s="8" t="n">
        <f aca="false">COUNTIFS($I$6:$I$728,I146,$K$6:$K$728,"&gt;"&amp;K146)+1</f>
        <v>51</v>
      </c>
      <c r="M146" s="10" t="n">
        <f aca="false">K146/SUMIFS($K$6:$K$728,$I$6:$I$728,I146)</f>
        <v>0.00229095074455899</v>
      </c>
    </row>
    <row r="147" customFormat="false" ht="15" hidden="false" customHeight="false" outlineLevel="0" collapsed="false">
      <c r="I147" s="8" t="s">
        <v>13</v>
      </c>
      <c r="J147" s="8" t="s">
        <v>242</v>
      </c>
      <c r="K147" s="9" t="n">
        <v>2</v>
      </c>
      <c r="L147" s="8" t="n">
        <f aca="false">COUNTIFS($I$6:$I$728,I147,$K$6:$K$728,"&gt;"&amp;K147)+1</f>
        <v>51</v>
      </c>
      <c r="M147" s="10" t="n">
        <f aca="false">K147/SUMIFS($K$6:$K$728,$I$6:$I$728,I147)</f>
        <v>0.00229095074455899</v>
      </c>
    </row>
    <row r="148" customFormat="false" ht="15" hidden="false" customHeight="false" outlineLevel="0" collapsed="false">
      <c r="I148" s="8" t="s">
        <v>13</v>
      </c>
      <c r="J148" s="8" t="s">
        <v>243</v>
      </c>
      <c r="K148" s="9" t="n">
        <v>2</v>
      </c>
      <c r="L148" s="8" t="n">
        <f aca="false">COUNTIFS($I$6:$I$728,I148,$K$6:$K$728,"&gt;"&amp;K148)+1</f>
        <v>51</v>
      </c>
      <c r="M148" s="10" t="n">
        <f aca="false">K148/SUMIFS($K$6:$K$728,$I$6:$I$728,I148)</f>
        <v>0.00229095074455899</v>
      </c>
    </row>
    <row r="149" customFormat="false" ht="15" hidden="false" customHeight="false" outlineLevel="0" collapsed="false">
      <c r="I149" s="8" t="s">
        <v>13</v>
      </c>
      <c r="J149" s="8" t="s">
        <v>244</v>
      </c>
      <c r="K149" s="9" t="n">
        <v>2</v>
      </c>
      <c r="L149" s="8" t="n">
        <f aca="false">COUNTIFS($I$6:$I$728,I149,$K$6:$K$728,"&gt;"&amp;K149)+1</f>
        <v>51</v>
      </c>
      <c r="M149" s="10" t="n">
        <f aca="false">K149/SUMIFS($K$6:$K$728,$I$6:$I$728,I149)</f>
        <v>0.00229095074455899</v>
      </c>
    </row>
    <row r="150" customFormat="false" ht="15" hidden="false" customHeight="false" outlineLevel="0" collapsed="false">
      <c r="I150" s="8" t="s">
        <v>13</v>
      </c>
      <c r="J150" s="8" t="s">
        <v>245</v>
      </c>
      <c r="K150" s="9" t="n">
        <v>2</v>
      </c>
      <c r="L150" s="8" t="n">
        <f aca="false">COUNTIFS($I$6:$I$728,I150,$K$6:$K$728,"&gt;"&amp;K150)+1</f>
        <v>51</v>
      </c>
      <c r="M150" s="10" t="n">
        <f aca="false">K150/SUMIFS($K$6:$K$728,$I$6:$I$728,I150)</f>
        <v>0.00229095074455899</v>
      </c>
    </row>
    <row r="151" customFormat="false" ht="15" hidden="false" customHeight="false" outlineLevel="0" collapsed="false">
      <c r="I151" s="8" t="s">
        <v>13</v>
      </c>
      <c r="J151" s="8" t="s">
        <v>246</v>
      </c>
      <c r="K151" s="9" t="n">
        <v>2</v>
      </c>
      <c r="L151" s="8" t="n">
        <f aca="false">COUNTIFS($I$6:$I$728,I151,$K$6:$K$728,"&gt;"&amp;K151)+1</f>
        <v>51</v>
      </c>
      <c r="M151" s="10" t="n">
        <f aca="false">K151/SUMIFS($K$6:$K$728,$I$6:$I$728,I151)</f>
        <v>0.00229095074455899</v>
      </c>
    </row>
    <row r="152" customFormat="false" ht="15" hidden="false" customHeight="false" outlineLevel="0" collapsed="false">
      <c r="I152" s="8" t="s">
        <v>13</v>
      </c>
      <c r="J152" s="8" t="s">
        <v>247</v>
      </c>
      <c r="K152" s="9" t="n">
        <v>2</v>
      </c>
      <c r="L152" s="8" t="n">
        <f aca="false">COUNTIFS($I$6:$I$728,I152,$K$6:$K$728,"&gt;"&amp;K152)+1</f>
        <v>51</v>
      </c>
      <c r="M152" s="10" t="n">
        <f aca="false">K152/SUMIFS($K$6:$K$728,$I$6:$I$728,I152)</f>
        <v>0.00229095074455899</v>
      </c>
    </row>
    <row r="153" customFormat="false" ht="15" hidden="false" customHeight="false" outlineLevel="0" collapsed="false">
      <c r="I153" s="8" t="s">
        <v>13</v>
      </c>
      <c r="J153" s="8" t="s">
        <v>248</v>
      </c>
      <c r="K153" s="9" t="n">
        <v>2</v>
      </c>
      <c r="L153" s="8" t="n">
        <f aca="false">COUNTIFS($I$6:$I$728,I153,$K$6:$K$728,"&gt;"&amp;K153)+1</f>
        <v>51</v>
      </c>
      <c r="M153" s="10" t="n">
        <f aca="false">K153/SUMIFS($K$6:$K$728,$I$6:$I$728,I153)</f>
        <v>0.00229095074455899</v>
      </c>
    </row>
    <row r="154" customFormat="false" ht="15" hidden="false" customHeight="false" outlineLevel="0" collapsed="false">
      <c r="I154" s="8" t="s">
        <v>13</v>
      </c>
      <c r="J154" s="8" t="s">
        <v>249</v>
      </c>
      <c r="K154" s="9" t="n">
        <v>2</v>
      </c>
      <c r="L154" s="8" t="n">
        <f aca="false">COUNTIFS($I$6:$I$728,I154,$K$6:$K$728,"&gt;"&amp;K154)+1</f>
        <v>51</v>
      </c>
      <c r="M154" s="10" t="n">
        <f aca="false">K154/SUMIFS($K$6:$K$728,$I$6:$I$728,I154)</f>
        <v>0.00229095074455899</v>
      </c>
    </row>
    <row r="155" customFormat="false" ht="15" hidden="false" customHeight="false" outlineLevel="0" collapsed="false">
      <c r="I155" s="8" t="s">
        <v>13</v>
      </c>
      <c r="J155" s="8" t="s">
        <v>250</v>
      </c>
      <c r="K155" s="9" t="n">
        <v>2</v>
      </c>
      <c r="L155" s="8" t="n">
        <f aca="false">COUNTIFS($I$6:$I$728,I155,$K$6:$K$728,"&gt;"&amp;K155)+1</f>
        <v>51</v>
      </c>
      <c r="M155" s="10" t="n">
        <f aca="false">K155/SUMIFS($K$6:$K$728,$I$6:$I$728,I155)</f>
        <v>0.00229095074455899</v>
      </c>
    </row>
    <row r="156" customFormat="false" ht="15" hidden="false" customHeight="false" outlineLevel="0" collapsed="false">
      <c r="I156" s="8" t="s">
        <v>13</v>
      </c>
      <c r="J156" s="8" t="s">
        <v>251</v>
      </c>
      <c r="K156" s="9" t="n">
        <v>2</v>
      </c>
      <c r="L156" s="8" t="n">
        <f aca="false">COUNTIFS($I$6:$I$728,I156,$K$6:$K$728,"&gt;"&amp;K156)+1</f>
        <v>51</v>
      </c>
      <c r="M156" s="10" t="n">
        <f aca="false">K156/SUMIFS($K$6:$K$728,$I$6:$I$728,I156)</f>
        <v>0.00229095074455899</v>
      </c>
    </row>
    <row r="157" customFormat="false" ht="15" hidden="false" customHeight="false" outlineLevel="0" collapsed="false">
      <c r="I157" s="8" t="s">
        <v>13</v>
      </c>
      <c r="J157" s="8" t="s">
        <v>252</v>
      </c>
      <c r="K157" s="9" t="n">
        <v>2</v>
      </c>
      <c r="L157" s="8" t="n">
        <f aca="false">COUNTIFS($I$6:$I$728,I157,$K$6:$K$728,"&gt;"&amp;K157)+1</f>
        <v>51</v>
      </c>
      <c r="M157" s="10" t="n">
        <f aca="false">K157/SUMIFS($K$6:$K$728,$I$6:$I$728,I157)</f>
        <v>0.00229095074455899</v>
      </c>
    </row>
    <row r="158" customFormat="false" ht="15" hidden="false" customHeight="false" outlineLevel="0" collapsed="false">
      <c r="I158" s="8" t="s">
        <v>13</v>
      </c>
      <c r="J158" s="8" t="s">
        <v>253</v>
      </c>
      <c r="K158" s="9" t="n">
        <v>2</v>
      </c>
      <c r="L158" s="8" t="n">
        <f aca="false">COUNTIFS($I$6:$I$728,I158,$K$6:$K$728,"&gt;"&amp;K158)+1</f>
        <v>51</v>
      </c>
      <c r="M158" s="10" t="n">
        <f aca="false">K158/SUMIFS($K$6:$K$728,$I$6:$I$728,I158)</f>
        <v>0.00229095074455899</v>
      </c>
    </row>
    <row r="159" customFormat="false" ht="15" hidden="false" customHeight="false" outlineLevel="0" collapsed="false">
      <c r="I159" s="8" t="s">
        <v>13</v>
      </c>
      <c r="J159" s="8" t="s">
        <v>254</v>
      </c>
      <c r="K159" s="9" t="n">
        <v>1</v>
      </c>
      <c r="L159" s="8" t="n">
        <f aca="false">COUNTIFS($I$6:$I$728,I159,$K$6:$K$728,"&gt;"&amp;K159)+1</f>
        <v>99</v>
      </c>
      <c r="M159" s="10" t="n">
        <f aca="false">K159/SUMIFS($K$6:$K$728,$I$6:$I$728,I159)</f>
        <v>0.0011454753722795</v>
      </c>
    </row>
    <row r="160" customFormat="false" ht="15" hidden="false" customHeight="false" outlineLevel="0" collapsed="false">
      <c r="I160" s="8" t="s">
        <v>13</v>
      </c>
      <c r="J160" s="8" t="s">
        <v>255</v>
      </c>
      <c r="K160" s="9" t="n">
        <v>1</v>
      </c>
      <c r="L160" s="8" t="n">
        <f aca="false">COUNTIFS($I$6:$I$728,I160,$K$6:$K$728,"&gt;"&amp;K160)+1</f>
        <v>99</v>
      </c>
      <c r="M160" s="10" t="n">
        <f aca="false">K160/SUMIFS($K$6:$K$728,$I$6:$I$728,I160)</f>
        <v>0.0011454753722795</v>
      </c>
    </row>
    <row r="161" customFormat="false" ht="15" hidden="false" customHeight="false" outlineLevel="0" collapsed="false">
      <c r="I161" s="8" t="s">
        <v>13</v>
      </c>
      <c r="J161" s="8" t="s">
        <v>256</v>
      </c>
      <c r="K161" s="9" t="n">
        <v>1</v>
      </c>
      <c r="L161" s="8" t="n">
        <f aca="false">COUNTIFS($I$6:$I$728,I161,$K$6:$K$728,"&gt;"&amp;K161)+1</f>
        <v>99</v>
      </c>
      <c r="M161" s="10" t="n">
        <f aca="false">K161/SUMIFS($K$6:$K$728,$I$6:$I$728,I161)</f>
        <v>0.0011454753722795</v>
      </c>
    </row>
    <row r="162" customFormat="false" ht="15" hidden="false" customHeight="false" outlineLevel="0" collapsed="false">
      <c r="I162" s="8" t="s">
        <v>13</v>
      </c>
      <c r="J162" s="8" t="s">
        <v>257</v>
      </c>
      <c r="K162" s="9" t="n">
        <v>1</v>
      </c>
      <c r="L162" s="8" t="n">
        <f aca="false">COUNTIFS($I$6:$I$728,I162,$K$6:$K$728,"&gt;"&amp;K162)+1</f>
        <v>99</v>
      </c>
      <c r="M162" s="10" t="n">
        <f aca="false">K162/SUMIFS($K$6:$K$728,$I$6:$I$728,I162)</f>
        <v>0.0011454753722795</v>
      </c>
    </row>
    <row r="163" customFormat="false" ht="15" hidden="false" customHeight="false" outlineLevel="0" collapsed="false">
      <c r="I163" s="8" t="s">
        <v>13</v>
      </c>
      <c r="J163" s="8" t="s">
        <v>258</v>
      </c>
      <c r="K163" s="9" t="n">
        <v>1</v>
      </c>
      <c r="L163" s="8" t="n">
        <f aca="false">COUNTIFS($I$6:$I$728,I163,$K$6:$K$728,"&gt;"&amp;K163)+1</f>
        <v>99</v>
      </c>
      <c r="M163" s="10" t="n">
        <f aca="false">K163/SUMIFS($K$6:$K$728,$I$6:$I$728,I163)</f>
        <v>0.0011454753722795</v>
      </c>
    </row>
    <row r="164" customFormat="false" ht="15" hidden="false" customHeight="false" outlineLevel="0" collapsed="false">
      <c r="I164" s="8" t="s">
        <v>13</v>
      </c>
      <c r="J164" s="8" t="s">
        <v>259</v>
      </c>
      <c r="K164" s="9" t="n">
        <v>1</v>
      </c>
      <c r="L164" s="8" t="n">
        <f aca="false">COUNTIFS($I$6:$I$728,I164,$K$6:$K$728,"&gt;"&amp;K164)+1</f>
        <v>99</v>
      </c>
      <c r="M164" s="10" t="n">
        <f aca="false">K164/SUMIFS($K$6:$K$728,$I$6:$I$728,I164)</f>
        <v>0.0011454753722795</v>
      </c>
    </row>
    <row r="165" customFormat="false" ht="15" hidden="false" customHeight="false" outlineLevel="0" collapsed="false">
      <c r="I165" s="8" t="s">
        <v>13</v>
      </c>
      <c r="J165" s="8" t="s">
        <v>260</v>
      </c>
      <c r="K165" s="9" t="n">
        <v>1</v>
      </c>
      <c r="L165" s="8" t="n">
        <f aca="false">COUNTIFS($I$6:$I$728,I165,$K$6:$K$728,"&gt;"&amp;K165)+1</f>
        <v>99</v>
      </c>
      <c r="M165" s="10" t="n">
        <f aca="false">K165/SUMIFS($K$6:$K$728,$I$6:$I$728,I165)</f>
        <v>0.0011454753722795</v>
      </c>
    </row>
    <row r="166" customFormat="false" ht="15" hidden="false" customHeight="false" outlineLevel="0" collapsed="false">
      <c r="I166" s="8" t="s">
        <v>13</v>
      </c>
      <c r="J166" s="8" t="s">
        <v>261</v>
      </c>
      <c r="K166" s="9" t="n">
        <v>1</v>
      </c>
      <c r="L166" s="8" t="n">
        <f aca="false">COUNTIFS($I$6:$I$728,I166,$K$6:$K$728,"&gt;"&amp;K166)+1</f>
        <v>99</v>
      </c>
      <c r="M166" s="10" t="n">
        <f aca="false">K166/SUMIFS($K$6:$K$728,$I$6:$I$728,I166)</f>
        <v>0.0011454753722795</v>
      </c>
    </row>
    <row r="167" customFormat="false" ht="15" hidden="false" customHeight="false" outlineLevel="0" collapsed="false">
      <c r="I167" s="8" t="s">
        <v>13</v>
      </c>
      <c r="J167" s="8" t="s">
        <v>262</v>
      </c>
      <c r="K167" s="9" t="n">
        <v>1</v>
      </c>
      <c r="L167" s="8" t="n">
        <f aca="false">COUNTIFS($I$6:$I$728,I167,$K$6:$K$728,"&gt;"&amp;K167)+1</f>
        <v>99</v>
      </c>
      <c r="M167" s="10" t="n">
        <f aca="false">K167/SUMIFS($K$6:$K$728,$I$6:$I$728,I167)</f>
        <v>0.0011454753722795</v>
      </c>
    </row>
    <row r="168" customFormat="false" ht="15" hidden="false" customHeight="false" outlineLevel="0" collapsed="false">
      <c r="I168" s="8" t="s">
        <v>13</v>
      </c>
      <c r="J168" s="8" t="s">
        <v>263</v>
      </c>
      <c r="K168" s="9" t="n">
        <v>1</v>
      </c>
      <c r="L168" s="8" t="n">
        <f aca="false">COUNTIFS($I$6:$I$728,I168,$K$6:$K$728,"&gt;"&amp;K168)+1</f>
        <v>99</v>
      </c>
      <c r="M168" s="10" t="n">
        <f aca="false">K168/SUMIFS($K$6:$K$728,$I$6:$I$728,I168)</f>
        <v>0.0011454753722795</v>
      </c>
    </row>
    <row r="169" customFormat="false" ht="15" hidden="false" customHeight="false" outlineLevel="0" collapsed="false">
      <c r="I169" s="8" t="s">
        <v>13</v>
      </c>
      <c r="J169" s="8" t="s">
        <v>264</v>
      </c>
      <c r="K169" s="9" t="n">
        <v>1</v>
      </c>
      <c r="L169" s="8" t="n">
        <f aca="false">COUNTIFS($I$6:$I$728,I169,$K$6:$K$728,"&gt;"&amp;K169)+1</f>
        <v>99</v>
      </c>
      <c r="M169" s="10" t="n">
        <f aca="false">K169/SUMIFS($K$6:$K$728,$I$6:$I$728,I169)</f>
        <v>0.0011454753722795</v>
      </c>
    </row>
    <row r="170" customFormat="false" ht="15" hidden="false" customHeight="false" outlineLevel="0" collapsed="false">
      <c r="I170" s="8" t="s">
        <v>13</v>
      </c>
      <c r="J170" s="8" t="s">
        <v>265</v>
      </c>
      <c r="K170" s="9" t="n">
        <v>1</v>
      </c>
      <c r="L170" s="8" t="n">
        <f aca="false">COUNTIFS($I$6:$I$728,I170,$K$6:$K$728,"&gt;"&amp;K170)+1</f>
        <v>99</v>
      </c>
      <c r="M170" s="10" t="n">
        <f aca="false">K170/SUMIFS($K$6:$K$728,$I$6:$I$728,I170)</f>
        <v>0.0011454753722795</v>
      </c>
    </row>
    <row r="171" customFormat="false" ht="15" hidden="false" customHeight="false" outlineLevel="0" collapsed="false">
      <c r="I171" s="8" t="s">
        <v>13</v>
      </c>
      <c r="J171" s="8" t="s">
        <v>266</v>
      </c>
      <c r="K171" s="9" t="n">
        <v>1</v>
      </c>
      <c r="L171" s="8" t="n">
        <f aca="false">COUNTIFS($I$6:$I$728,I171,$K$6:$K$728,"&gt;"&amp;K171)+1</f>
        <v>99</v>
      </c>
      <c r="M171" s="10" t="n">
        <f aca="false">K171/SUMIFS($K$6:$K$728,$I$6:$I$728,I171)</f>
        <v>0.0011454753722795</v>
      </c>
    </row>
    <row r="172" customFormat="false" ht="15" hidden="false" customHeight="false" outlineLevel="0" collapsed="false">
      <c r="I172" s="8" t="s">
        <v>13</v>
      </c>
      <c r="J172" s="8" t="s">
        <v>267</v>
      </c>
      <c r="K172" s="9" t="n">
        <v>1</v>
      </c>
      <c r="L172" s="8" t="n">
        <f aca="false">COUNTIFS($I$6:$I$728,I172,$K$6:$K$728,"&gt;"&amp;K172)+1</f>
        <v>99</v>
      </c>
      <c r="M172" s="10" t="n">
        <f aca="false">K172/SUMIFS($K$6:$K$728,$I$6:$I$728,I172)</f>
        <v>0.0011454753722795</v>
      </c>
    </row>
    <row r="173" customFormat="false" ht="15" hidden="false" customHeight="false" outlineLevel="0" collapsed="false">
      <c r="I173" s="8" t="s">
        <v>13</v>
      </c>
      <c r="J173" s="8" t="s">
        <v>268</v>
      </c>
      <c r="K173" s="9" t="n">
        <v>1</v>
      </c>
      <c r="L173" s="8" t="n">
        <f aca="false">COUNTIFS($I$6:$I$728,I173,$K$6:$K$728,"&gt;"&amp;K173)+1</f>
        <v>99</v>
      </c>
      <c r="M173" s="10" t="n">
        <f aca="false">K173/SUMIFS($K$6:$K$728,$I$6:$I$728,I173)</f>
        <v>0.0011454753722795</v>
      </c>
    </row>
    <row r="174" customFormat="false" ht="15" hidden="false" customHeight="false" outlineLevel="0" collapsed="false">
      <c r="I174" s="8" t="s">
        <v>13</v>
      </c>
      <c r="J174" s="8" t="s">
        <v>269</v>
      </c>
      <c r="K174" s="9" t="n">
        <v>1</v>
      </c>
      <c r="L174" s="8" t="n">
        <f aca="false">COUNTIFS($I$6:$I$728,I174,$K$6:$K$728,"&gt;"&amp;K174)+1</f>
        <v>99</v>
      </c>
      <c r="M174" s="10" t="n">
        <f aca="false">K174/SUMIFS($K$6:$K$728,$I$6:$I$728,I174)</f>
        <v>0.0011454753722795</v>
      </c>
    </row>
    <row r="175" customFormat="false" ht="15" hidden="false" customHeight="false" outlineLevel="0" collapsed="false">
      <c r="I175" s="8" t="s">
        <v>13</v>
      </c>
      <c r="J175" s="8" t="s">
        <v>270</v>
      </c>
      <c r="K175" s="9" t="n">
        <v>1</v>
      </c>
      <c r="L175" s="8" t="n">
        <f aca="false">COUNTIFS($I$6:$I$728,I175,$K$6:$K$728,"&gt;"&amp;K175)+1</f>
        <v>99</v>
      </c>
      <c r="M175" s="10" t="n">
        <f aca="false">K175/SUMIFS($K$6:$K$728,$I$6:$I$728,I175)</f>
        <v>0.0011454753722795</v>
      </c>
    </row>
    <row r="176" customFormat="false" ht="15" hidden="false" customHeight="false" outlineLevel="0" collapsed="false">
      <c r="I176" s="8" t="s">
        <v>13</v>
      </c>
      <c r="J176" s="8" t="s">
        <v>271</v>
      </c>
      <c r="K176" s="9" t="n">
        <v>1</v>
      </c>
      <c r="L176" s="8" t="n">
        <f aca="false">COUNTIFS($I$6:$I$728,I176,$K$6:$K$728,"&gt;"&amp;K176)+1</f>
        <v>99</v>
      </c>
      <c r="M176" s="10" t="n">
        <f aca="false">K176/SUMIFS($K$6:$K$728,$I$6:$I$728,I176)</f>
        <v>0.0011454753722795</v>
      </c>
    </row>
    <row r="177" customFormat="false" ht="15" hidden="false" customHeight="false" outlineLevel="0" collapsed="false">
      <c r="I177" s="8" t="s">
        <v>13</v>
      </c>
      <c r="J177" s="8" t="s">
        <v>272</v>
      </c>
      <c r="K177" s="9" t="n">
        <v>1</v>
      </c>
      <c r="L177" s="8" t="n">
        <f aca="false">COUNTIFS($I$6:$I$728,I177,$K$6:$K$728,"&gt;"&amp;K177)+1</f>
        <v>99</v>
      </c>
      <c r="M177" s="10" t="n">
        <f aca="false">K177/SUMIFS($K$6:$K$728,$I$6:$I$728,I177)</f>
        <v>0.0011454753722795</v>
      </c>
    </row>
    <row r="178" customFormat="false" ht="15" hidden="false" customHeight="false" outlineLevel="0" collapsed="false">
      <c r="I178" s="8" t="s">
        <v>13</v>
      </c>
      <c r="J178" s="8" t="s">
        <v>273</v>
      </c>
      <c r="K178" s="9" t="n">
        <v>1</v>
      </c>
      <c r="L178" s="8" t="n">
        <f aca="false">COUNTIFS($I$6:$I$728,I178,$K$6:$K$728,"&gt;"&amp;K178)+1</f>
        <v>99</v>
      </c>
      <c r="M178" s="10" t="n">
        <f aca="false">K178/SUMIFS($K$6:$K$728,$I$6:$I$728,I178)</f>
        <v>0.0011454753722795</v>
      </c>
    </row>
    <row r="179" customFormat="false" ht="15" hidden="false" customHeight="false" outlineLevel="0" collapsed="false">
      <c r="I179" s="8" t="s">
        <v>13</v>
      </c>
      <c r="J179" s="8" t="s">
        <v>274</v>
      </c>
      <c r="K179" s="9" t="n">
        <v>1</v>
      </c>
      <c r="L179" s="8" t="n">
        <f aca="false">COUNTIFS($I$6:$I$728,I179,$K$6:$K$728,"&gt;"&amp;K179)+1</f>
        <v>99</v>
      </c>
      <c r="M179" s="10" t="n">
        <f aca="false">K179/SUMIFS($K$6:$K$728,$I$6:$I$728,I179)</f>
        <v>0.0011454753722795</v>
      </c>
    </row>
    <row r="180" customFormat="false" ht="15" hidden="false" customHeight="false" outlineLevel="0" collapsed="false">
      <c r="I180" s="8" t="s">
        <v>13</v>
      </c>
      <c r="J180" s="8" t="s">
        <v>275</v>
      </c>
      <c r="K180" s="9" t="n">
        <v>1</v>
      </c>
      <c r="L180" s="8" t="n">
        <f aca="false">COUNTIFS($I$6:$I$728,I180,$K$6:$K$728,"&gt;"&amp;K180)+1</f>
        <v>99</v>
      </c>
      <c r="M180" s="10" t="n">
        <f aca="false">K180/SUMIFS($K$6:$K$728,$I$6:$I$728,I180)</f>
        <v>0.0011454753722795</v>
      </c>
    </row>
    <row r="181" customFormat="false" ht="15" hidden="false" customHeight="false" outlineLevel="0" collapsed="false">
      <c r="I181" s="8" t="s">
        <v>13</v>
      </c>
      <c r="J181" s="8" t="s">
        <v>276</v>
      </c>
      <c r="K181" s="9" t="n">
        <v>1</v>
      </c>
      <c r="L181" s="8" t="n">
        <f aca="false">COUNTIFS($I$6:$I$728,I181,$K$6:$K$728,"&gt;"&amp;K181)+1</f>
        <v>99</v>
      </c>
      <c r="M181" s="10" t="n">
        <f aca="false">K181/SUMIFS($K$6:$K$728,$I$6:$I$728,I181)</f>
        <v>0.0011454753722795</v>
      </c>
    </row>
    <row r="182" customFormat="false" ht="15" hidden="false" customHeight="false" outlineLevel="0" collapsed="false">
      <c r="I182" s="8" t="s">
        <v>13</v>
      </c>
      <c r="J182" s="8" t="s">
        <v>277</v>
      </c>
      <c r="K182" s="9" t="n">
        <v>1</v>
      </c>
      <c r="L182" s="8" t="n">
        <f aca="false">COUNTIFS($I$6:$I$728,I182,$K$6:$K$728,"&gt;"&amp;K182)+1</f>
        <v>99</v>
      </c>
      <c r="M182" s="10" t="n">
        <f aca="false">K182/SUMIFS($K$6:$K$728,$I$6:$I$728,I182)</f>
        <v>0.0011454753722795</v>
      </c>
    </row>
    <row r="183" customFormat="false" ht="15" hidden="false" customHeight="false" outlineLevel="0" collapsed="false">
      <c r="I183" s="8" t="s">
        <v>13</v>
      </c>
      <c r="J183" s="8" t="s">
        <v>278</v>
      </c>
      <c r="K183" s="9" t="n">
        <v>1</v>
      </c>
      <c r="L183" s="8" t="n">
        <f aca="false">COUNTIFS($I$6:$I$728,I183,$K$6:$K$728,"&gt;"&amp;K183)+1</f>
        <v>99</v>
      </c>
      <c r="M183" s="10" t="n">
        <f aca="false">K183/SUMIFS($K$6:$K$728,$I$6:$I$728,I183)</f>
        <v>0.0011454753722795</v>
      </c>
    </row>
    <row r="184" customFormat="false" ht="15" hidden="false" customHeight="false" outlineLevel="0" collapsed="false">
      <c r="I184" s="8" t="s">
        <v>13</v>
      </c>
      <c r="J184" s="8" t="s">
        <v>279</v>
      </c>
      <c r="K184" s="9" t="n">
        <v>1</v>
      </c>
      <c r="L184" s="8" t="n">
        <f aca="false">COUNTIFS($I$6:$I$728,I184,$K$6:$K$728,"&gt;"&amp;K184)+1</f>
        <v>99</v>
      </c>
      <c r="M184" s="10" t="n">
        <f aca="false">K184/SUMIFS($K$6:$K$728,$I$6:$I$728,I184)</f>
        <v>0.0011454753722795</v>
      </c>
    </row>
    <row r="185" customFormat="false" ht="15" hidden="false" customHeight="false" outlineLevel="0" collapsed="false">
      <c r="I185" s="8" t="s">
        <v>13</v>
      </c>
      <c r="J185" s="8" t="s">
        <v>280</v>
      </c>
      <c r="K185" s="9" t="n">
        <v>1</v>
      </c>
      <c r="L185" s="8" t="n">
        <f aca="false">COUNTIFS($I$6:$I$728,I185,$K$6:$K$728,"&gt;"&amp;K185)+1</f>
        <v>99</v>
      </c>
      <c r="M185" s="10" t="n">
        <f aca="false">K185/SUMIFS($K$6:$K$728,$I$6:$I$728,I185)</f>
        <v>0.0011454753722795</v>
      </c>
    </row>
    <row r="186" customFormat="false" ht="15" hidden="false" customHeight="false" outlineLevel="0" collapsed="false">
      <c r="I186" s="8" t="s">
        <v>13</v>
      </c>
      <c r="J186" s="8" t="s">
        <v>281</v>
      </c>
      <c r="K186" s="9" t="n">
        <v>1</v>
      </c>
      <c r="L186" s="8" t="n">
        <f aca="false">COUNTIFS($I$6:$I$728,I186,$K$6:$K$728,"&gt;"&amp;K186)+1</f>
        <v>99</v>
      </c>
      <c r="M186" s="10" t="n">
        <f aca="false">K186/SUMIFS($K$6:$K$728,$I$6:$I$728,I186)</f>
        <v>0.0011454753722795</v>
      </c>
    </row>
    <row r="187" customFormat="false" ht="15" hidden="false" customHeight="false" outlineLevel="0" collapsed="false">
      <c r="I187" s="8" t="s">
        <v>13</v>
      </c>
      <c r="J187" s="8" t="s">
        <v>282</v>
      </c>
      <c r="K187" s="9" t="n">
        <v>1</v>
      </c>
      <c r="L187" s="8" t="n">
        <f aca="false">COUNTIFS($I$6:$I$728,I187,$K$6:$K$728,"&gt;"&amp;K187)+1</f>
        <v>99</v>
      </c>
      <c r="M187" s="10" t="n">
        <f aca="false">K187/SUMIFS($K$6:$K$728,$I$6:$I$728,I187)</f>
        <v>0.0011454753722795</v>
      </c>
    </row>
    <row r="188" customFormat="false" ht="15" hidden="false" customHeight="false" outlineLevel="0" collapsed="false">
      <c r="I188" s="8" t="s">
        <v>13</v>
      </c>
      <c r="J188" s="8" t="s">
        <v>283</v>
      </c>
      <c r="K188" s="9" t="n">
        <v>1</v>
      </c>
      <c r="L188" s="8" t="n">
        <f aca="false">COUNTIFS($I$6:$I$728,I188,$K$6:$K$728,"&gt;"&amp;K188)+1</f>
        <v>99</v>
      </c>
      <c r="M188" s="10" t="n">
        <f aca="false">K188/SUMIFS($K$6:$K$728,$I$6:$I$728,I188)</f>
        <v>0.0011454753722795</v>
      </c>
    </row>
    <row r="189" customFormat="false" ht="15" hidden="false" customHeight="false" outlineLevel="0" collapsed="false">
      <c r="I189" s="8" t="s">
        <v>13</v>
      </c>
      <c r="J189" s="8" t="s">
        <v>284</v>
      </c>
      <c r="K189" s="9" t="n">
        <v>1</v>
      </c>
      <c r="L189" s="8" t="n">
        <f aca="false">COUNTIFS($I$6:$I$728,I189,$K$6:$K$728,"&gt;"&amp;K189)+1</f>
        <v>99</v>
      </c>
      <c r="M189" s="10" t="n">
        <f aca="false">K189/SUMIFS($K$6:$K$728,$I$6:$I$728,I189)</f>
        <v>0.0011454753722795</v>
      </c>
    </row>
    <row r="190" customFormat="false" ht="15" hidden="false" customHeight="false" outlineLevel="0" collapsed="false">
      <c r="I190" s="8" t="s">
        <v>13</v>
      </c>
      <c r="J190" s="8" t="s">
        <v>285</v>
      </c>
      <c r="K190" s="9" t="n">
        <v>1</v>
      </c>
      <c r="L190" s="8" t="n">
        <f aca="false">COUNTIFS($I$6:$I$728,I190,$K$6:$K$728,"&gt;"&amp;K190)+1</f>
        <v>99</v>
      </c>
      <c r="M190" s="10" t="n">
        <f aca="false">K190/SUMIFS($K$6:$K$728,$I$6:$I$728,I190)</f>
        <v>0.0011454753722795</v>
      </c>
    </row>
    <row r="191" customFormat="false" ht="15" hidden="false" customHeight="false" outlineLevel="0" collapsed="false">
      <c r="I191" s="8" t="s">
        <v>13</v>
      </c>
      <c r="J191" s="8" t="s">
        <v>286</v>
      </c>
      <c r="K191" s="9" t="n">
        <v>1</v>
      </c>
      <c r="L191" s="8" t="n">
        <f aca="false">COUNTIFS($I$6:$I$728,I191,$K$6:$K$728,"&gt;"&amp;K191)+1</f>
        <v>99</v>
      </c>
      <c r="M191" s="10" t="n">
        <f aca="false">K191/SUMIFS($K$6:$K$728,$I$6:$I$728,I191)</f>
        <v>0.0011454753722795</v>
      </c>
    </row>
    <row r="192" customFormat="false" ht="15" hidden="false" customHeight="false" outlineLevel="0" collapsed="false">
      <c r="I192" s="8" t="s">
        <v>13</v>
      </c>
      <c r="J192" s="8" t="s">
        <v>287</v>
      </c>
      <c r="K192" s="9" t="n">
        <v>1</v>
      </c>
      <c r="L192" s="8" t="n">
        <f aca="false">COUNTIFS($I$6:$I$728,I192,$K$6:$K$728,"&gt;"&amp;K192)+1</f>
        <v>99</v>
      </c>
      <c r="M192" s="10" t="n">
        <f aca="false">K192/SUMIFS($K$6:$K$728,$I$6:$I$728,I192)</f>
        <v>0.0011454753722795</v>
      </c>
    </row>
    <row r="193" customFormat="false" ht="15" hidden="false" customHeight="false" outlineLevel="0" collapsed="false">
      <c r="I193" s="8" t="s">
        <v>13</v>
      </c>
      <c r="J193" s="8" t="s">
        <v>288</v>
      </c>
      <c r="K193" s="9" t="n">
        <v>1</v>
      </c>
      <c r="L193" s="8" t="n">
        <f aca="false">COUNTIFS($I$6:$I$728,I193,$K$6:$K$728,"&gt;"&amp;K193)+1</f>
        <v>99</v>
      </c>
      <c r="M193" s="10" t="n">
        <f aca="false">K193/SUMIFS($K$6:$K$728,$I$6:$I$728,I193)</f>
        <v>0.0011454753722795</v>
      </c>
    </row>
    <row r="194" customFormat="false" ht="15" hidden="false" customHeight="false" outlineLevel="0" collapsed="false">
      <c r="I194" s="8" t="s">
        <v>13</v>
      </c>
      <c r="J194" s="8" t="s">
        <v>289</v>
      </c>
      <c r="K194" s="9" t="n">
        <v>1</v>
      </c>
      <c r="L194" s="8" t="n">
        <f aca="false">COUNTIFS($I$6:$I$728,I194,$K$6:$K$728,"&gt;"&amp;K194)+1</f>
        <v>99</v>
      </c>
      <c r="M194" s="10" t="n">
        <f aca="false">K194/SUMIFS($K$6:$K$728,$I$6:$I$728,I194)</f>
        <v>0.0011454753722795</v>
      </c>
    </row>
    <row r="195" customFormat="false" ht="15" hidden="false" customHeight="false" outlineLevel="0" collapsed="false">
      <c r="I195" s="8" t="s">
        <v>13</v>
      </c>
      <c r="J195" s="8" t="s">
        <v>290</v>
      </c>
      <c r="K195" s="9" t="n">
        <v>1</v>
      </c>
      <c r="L195" s="8" t="n">
        <f aca="false">COUNTIFS($I$6:$I$728,I195,$K$6:$K$728,"&gt;"&amp;K195)+1</f>
        <v>99</v>
      </c>
      <c r="M195" s="10" t="n">
        <f aca="false">K195/SUMIFS($K$6:$K$728,$I$6:$I$728,I195)</f>
        <v>0.0011454753722795</v>
      </c>
    </row>
    <row r="196" customFormat="false" ht="15" hidden="false" customHeight="false" outlineLevel="0" collapsed="false">
      <c r="I196" s="8" t="s">
        <v>13</v>
      </c>
      <c r="J196" s="8" t="s">
        <v>291</v>
      </c>
      <c r="K196" s="9" t="n">
        <v>1</v>
      </c>
      <c r="L196" s="8" t="n">
        <f aca="false">COUNTIFS($I$6:$I$728,I196,$K$6:$K$728,"&gt;"&amp;K196)+1</f>
        <v>99</v>
      </c>
      <c r="M196" s="10" t="n">
        <f aca="false">K196/SUMIFS($K$6:$K$728,$I$6:$I$728,I196)</f>
        <v>0.0011454753722795</v>
      </c>
    </row>
    <row r="197" customFormat="false" ht="15" hidden="false" customHeight="false" outlineLevel="0" collapsed="false">
      <c r="I197" s="8" t="s">
        <v>13</v>
      </c>
      <c r="J197" s="8" t="s">
        <v>292</v>
      </c>
      <c r="K197" s="9" t="n">
        <v>1</v>
      </c>
      <c r="L197" s="8" t="n">
        <f aca="false">COUNTIFS($I$6:$I$728,I197,$K$6:$K$728,"&gt;"&amp;K197)+1</f>
        <v>99</v>
      </c>
      <c r="M197" s="10" t="n">
        <f aca="false">K197/SUMIFS($K$6:$K$728,$I$6:$I$728,I197)</f>
        <v>0.0011454753722795</v>
      </c>
    </row>
    <row r="198" customFormat="false" ht="15" hidden="false" customHeight="false" outlineLevel="0" collapsed="false">
      <c r="I198" s="8" t="s">
        <v>13</v>
      </c>
      <c r="J198" s="8" t="s">
        <v>293</v>
      </c>
      <c r="K198" s="9" t="n">
        <v>1</v>
      </c>
      <c r="L198" s="8" t="n">
        <f aca="false">COUNTIFS($I$6:$I$728,I198,$K$6:$K$728,"&gt;"&amp;K198)+1</f>
        <v>99</v>
      </c>
      <c r="M198" s="10" t="n">
        <f aca="false">K198/SUMIFS($K$6:$K$728,$I$6:$I$728,I198)</f>
        <v>0.0011454753722795</v>
      </c>
    </row>
    <row r="199" customFormat="false" ht="15" hidden="false" customHeight="false" outlineLevel="0" collapsed="false">
      <c r="I199" s="8" t="s">
        <v>13</v>
      </c>
      <c r="J199" s="8" t="s">
        <v>294</v>
      </c>
      <c r="K199" s="9" t="n">
        <v>1</v>
      </c>
      <c r="L199" s="8" t="n">
        <f aca="false">COUNTIFS($I$6:$I$728,I199,$K$6:$K$728,"&gt;"&amp;K199)+1</f>
        <v>99</v>
      </c>
      <c r="M199" s="10" t="n">
        <f aca="false">K199/SUMIFS($K$6:$K$728,$I$6:$I$728,I199)</f>
        <v>0.0011454753722795</v>
      </c>
    </row>
    <row r="200" customFormat="false" ht="15" hidden="false" customHeight="false" outlineLevel="0" collapsed="false">
      <c r="I200" s="8" t="s">
        <v>13</v>
      </c>
      <c r="J200" s="8" t="s">
        <v>295</v>
      </c>
      <c r="K200" s="9" t="n">
        <v>1</v>
      </c>
      <c r="L200" s="8" t="n">
        <f aca="false">COUNTIFS($I$6:$I$728,I200,$K$6:$K$728,"&gt;"&amp;K200)+1</f>
        <v>99</v>
      </c>
      <c r="M200" s="10" t="n">
        <f aca="false">K200/SUMIFS($K$6:$K$728,$I$6:$I$728,I200)</f>
        <v>0.0011454753722795</v>
      </c>
    </row>
    <row r="201" customFormat="false" ht="15" hidden="false" customHeight="false" outlineLevel="0" collapsed="false">
      <c r="I201" s="8" t="s">
        <v>13</v>
      </c>
      <c r="J201" s="8" t="s">
        <v>296</v>
      </c>
      <c r="K201" s="9" t="n">
        <v>1</v>
      </c>
      <c r="L201" s="8" t="n">
        <f aca="false">COUNTIFS($I$6:$I$728,I201,$K$6:$K$728,"&gt;"&amp;K201)+1</f>
        <v>99</v>
      </c>
      <c r="M201" s="10" t="n">
        <f aca="false">K201/SUMIFS($K$6:$K$728,$I$6:$I$728,I201)</f>
        <v>0.0011454753722795</v>
      </c>
    </row>
    <row r="202" customFormat="false" ht="15" hidden="false" customHeight="false" outlineLevel="0" collapsed="false">
      <c r="I202" s="8" t="s">
        <v>13</v>
      </c>
      <c r="J202" s="8" t="s">
        <v>297</v>
      </c>
      <c r="K202" s="9" t="n">
        <v>1</v>
      </c>
      <c r="L202" s="8" t="n">
        <f aca="false">COUNTIFS($I$6:$I$728,I202,$K$6:$K$728,"&gt;"&amp;K202)+1</f>
        <v>99</v>
      </c>
      <c r="M202" s="10" t="n">
        <f aca="false">K202/SUMIFS($K$6:$K$728,$I$6:$I$728,I202)</f>
        <v>0.0011454753722795</v>
      </c>
    </row>
    <row r="203" customFormat="false" ht="15" hidden="false" customHeight="false" outlineLevel="0" collapsed="false">
      <c r="I203" s="8" t="s">
        <v>13</v>
      </c>
      <c r="J203" s="8" t="s">
        <v>298</v>
      </c>
      <c r="K203" s="9" t="n">
        <v>1</v>
      </c>
      <c r="L203" s="8" t="n">
        <f aca="false">COUNTIFS($I$6:$I$728,I203,$K$6:$K$728,"&gt;"&amp;K203)+1</f>
        <v>99</v>
      </c>
      <c r="M203" s="10" t="n">
        <f aca="false">K203/SUMIFS($K$6:$K$728,$I$6:$I$728,I203)</f>
        <v>0.0011454753722795</v>
      </c>
    </row>
    <row r="204" customFormat="false" ht="15" hidden="false" customHeight="false" outlineLevel="0" collapsed="false">
      <c r="I204" s="8" t="s">
        <v>13</v>
      </c>
      <c r="J204" s="8" t="s">
        <v>299</v>
      </c>
      <c r="K204" s="9" t="n">
        <v>1</v>
      </c>
      <c r="L204" s="8" t="n">
        <f aca="false">COUNTIFS($I$6:$I$728,I204,$K$6:$K$728,"&gt;"&amp;K204)+1</f>
        <v>99</v>
      </c>
      <c r="M204" s="10" t="n">
        <f aca="false">K204/SUMIFS($K$6:$K$728,$I$6:$I$728,I204)</f>
        <v>0.0011454753722795</v>
      </c>
    </row>
    <row r="205" customFormat="false" ht="15" hidden="false" customHeight="false" outlineLevel="0" collapsed="false">
      <c r="I205" s="8" t="s">
        <v>13</v>
      </c>
      <c r="J205" s="8" t="s">
        <v>300</v>
      </c>
      <c r="K205" s="9" t="n">
        <v>1</v>
      </c>
      <c r="L205" s="8" t="n">
        <f aca="false">COUNTIFS($I$6:$I$728,I205,$K$6:$K$728,"&gt;"&amp;K205)+1</f>
        <v>99</v>
      </c>
      <c r="M205" s="10" t="n">
        <f aca="false">K205/SUMIFS($K$6:$K$728,$I$6:$I$728,I205)</f>
        <v>0.0011454753722795</v>
      </c>
    </row>
    <row r="206" customFormat="false" ht="15" hidden="false" customHeight="false" outlineLevel="0" collapsed="false">
      <c r="I206" s="8" t="s">
        <v>13</v>
      </c>
      <c r="J206" s="8" t="s">
        <v>301</v>
      </c>
      <c r="K206" s="9" t="n">
        <v>1</v>
      </c>
      <c r="L206" s="8" t="n">
        <f aca="false">COUNTIFS($I$6:$I$728,I206,$K$6:$K$728,"&gt;"&amp;K206)+1</f>
        <v>99</v>
      </c>
      <c r="M206" s="10" t="n">
        <f aca="false">K206/SUMIFS($K$6:$K$728,$I$6:$I$728,I206)</f>
        <v>0.0011454753722795</v>
      </c>
    </row>
    <row r="207" customFormat="false" ht="15" hidden="false" customHeight="false" outlineLevel="0" collapsed="false">
      <c r="I207" s="8" t="s">
        <v>13</v>
      </c>
      <c r="J207" s="8" t="s">
        <v>302</v>
      </c>
      <c r="K207" s="9" t="n">
        <v>1</v>
      </c>
      <c r="L207" s="8" t="n">
        <f aca="false">COUNTIFS($I$6:$I$728,I207,$K$6:$K$728,"&gt;"&amp;K207)+1</f>
        <v>99</v>
      </c>
      <c r="M207" s="10" t="n">
        <f aca="false">K207/SUMIFS($K$6:$K$728,$I$6:$I$728,I207)</f>
        <v>0.0011454753722795</v>
      </c>
    </row>
    <row r="208" customFormat="false" ht="15" hidden="false" customHeight="false" outlineLevel="0" collapsed="false">
      <c r="I208" s="8" t="s">
        <v>13</v>
      </c>
      <c r="J208" s="8" t="s">
        <v>303</v>
      </c>
      <c r="K208" s="9" t="n">
        <v>1</v>
      </c>
      <c r="L208" s="8" t="n">
        <f aca="false">COUNTIFS($I$6:$I$728,I208,$K$6:$K$728,"&gt;"&amp;K208)+1</f>
        <v>99</v>
      </c>
      <c r="M208" s="10" t="n">
        <f aca="false">K208/SUMIFS($K$6:$K$728,$I$6:$I$728,I208)</f>
        <v>0.0011454753722795</v>
      </c>
    </row>
    <row r="209" customFormat="false" ht="15" hidden="false" customHeight="false" outlineLevel="0" collapsed="false">
      <c r="I209" s="8" t="s">
        <v>13</v>
      </c>
      <c r="J209" s="8" t="s">
        <v>304</v>
      </c>
      <c r="K209" s="9" t="n">
        <v>1</v>
      </c>
      <c r="L209" s="8" t="n">
        <f aca="false">COUNTIFS($I$6:$I$728,I209,$K$6:$K$728,"&gt;"&amp;K209)+1</f>
        <v>99</v>
      </c>
      <c r="M209" s="10" t="n">
        <f aca="false">K209/SUMIFS($K$6:$K$728,$I$6:$I$728,I209)</f>
        <v>0.0011454753722795</v>
      </c>
    </row>
    <row r="210" customFormat="false" ht="15" hidden="false" customHeight="false" outlineLevel="0" collapsed="false">
      <c r="I210" s="8" t="s">
        <v>13</v>
      </c>
      <c r="J210" s="8" t="s">
        <v>305</v>
      </c>
      <c r="K210" s="9" t="n">
        <v>1</v>
      </c>
      <c r="L210" s="8" t="n">
        <f aca="false">COUNTIFS($I$6:$I$728,I210,$K$6:$K$728,"&gt;"&amp;K210)+1</f>
        <v>99</v>
      </c>
      <c r="M210" s="10" t="n">
        <f aca="false">K210/SUMIFS($K$6:$K$728,$I$6:$I$728,I210)</f>
        <v>0.0011454753722795</v>
      </c>
    </row>
    <row r="211" customFormat="false" ht="15" hidden="false" customHeight="false" outlineLevel="0" collapsed="false">
      <c r="I211" s="8" t="s">
        <v>13</v>
      </c>
      <c r="J211" s="8" t="s">
        <v>306</v>
      </c>
      <c r="K211" s="9" t="n">
        <v>1</v>
      </c>
      <c r="L211" s="8" t="n">
        <f aca="false">COUNTIFS($I$6:$I$728,I211,$K$6:$K$728,"&gt;"&amp;K211)+1</f>
        <v>99</v>
      </c>
      <c r="M211" s="10" t="n">
        <f aca="false">K211/SUMIFS($K$6:$K$728,$I$6:$I$728,I211)</f>
        <v>0.0011454753722795</v>
      </c>
    </row>
    <row r="212" customFormat="false" ht="15" hidden="false" customHeight="false" outlineLevel="0" collapsed="false">
      <c r="I212" s="8" t="s">
        <v>13</v>
      </c>
      <c r="J212" s="8" t="s">
        <v>307</v>
      </c>
      <c r="K212" s="9" t="n">
        <v>1</v>
      </c>
      <c r="L212" s="8" t="n">
        <f aca="false">COUNTIFS($I$6:$I$728,I212,$K$6:$K$728,"&gt;"&amp;K212)+1</f>
        <v>99</v>
      </c>
      <c r="M212" s="10" t="n">
        <f aca="false">K212/SUMIFS($K$6:$K$728,$I$6:$I$728,I212)</f>
        <v>0.0011454753722795</v>
      </c>
    </row>
    <row r="213" customFormat="false" ht="15" hidden="false" customHeight="false" outlineLevel="0" collapsed="false">
      <c r="I213" s="8" t="s">
        <v>13</v>
      </c>
      <c r="J213" s="8" t="s">
        <v>308</v>
      </c>
      <c r="K213" s="9" t="n">
        <v>1</v>
      </c>
      <c r="L213" s="8" t="n">
        <f aca="false">COUNTIFS($I$6:$I$728,I213,$K$6:$K$728,"&gt;"&amp;K213)+1</f>
        <v>99</v>
      </c>
      <c r="M213" s="10" t="n">
        <f aca="false">K213/SUMIFS($K$6:$K$728,$I$6:$I$728,I213)</f>
        <v>0.0011454753722795</v>
      </c>
    </row>
    <row r="214" customFormat="false" ht="15" hidden="false" customHeight="false" outlineLevel="0" collapsed="false">
      <c r="I214" s="8" t="s">
        <v>13</v>
      </c>
      <c r="J214" s="8" t="s">
        <v>309</v>
      </c>
      <c r="K214" s="9" t="n">
        <v>1</v>
      </c>
      <c r="L214" s="8" t="n">
        <f aca="false">COUNTIFS($I$6:$I$728,I214,$K$6:$K$728,"&gt;"&amp;K214)+1</f>
        <v>99</v>
      </c>
      <c r="M214" s="10" t="n">
        <f aca="false">K214/SUMIFS($K$6:$K$728,$I$6:$I$728,I214)</f>
        <v>0.0011454753722795</v>
      </c>
    </row>
    <row r="215" customFormat="false" ht="15" hidden="false" customHeight="false" outlineLevel="0" collapsed="false">
      <c r="I215" s="8" t="s">
        <v>13</v>
      </c>
      <c r="J215" s="8" t="s">
        <v>310</v>
      </c>
      <c r="K215" s="9" t="n">
        <v>1</v>
      </c>
      <c r="L215" s="8" t="n">
        <f aca="false">COUNTIFS($I$6:$I$728,I215,$K$6:$K$728,"&gt;"&amp;K215)+1</f>
        <v>99</v>
      </c>
      <c r="M215" s="10" t="n">
        <f aca="false">K215/SUMIFS($K$6:$K$728,$I$6:$I$728,I215)</f>
        <v>0.0011454753722795</v>
      </c>
    </row>
    <row r="216" customFormat="false" ht="15" hidden="false" customHeight="false" outlineLevel="0" collapsed="false">
      <c r="I216" s="8" t="s">
        <v>13</v>
      </c>
      <c r="J216" s="8" t="s">
        <v>311</v>
      </c>
      <c r="K216" s="9" t="n">
        <v>1</v>
      </c>
      <c r="L216" s="8" t="n">
        <f aca="false">COUNTIFS($I$6:$I$728,I216,$K$6:$K$728,"&gt;"&amp;K216)+1</f>
        <v>99</v>
      </c>
      <c r="M216" s="10" t="n">
        <f aca="false">K216/SUMIFS($K$6:$K$728,$I$6:$I$728,I216)</f>
        <v>0.0011454753722795</v>
      </c>
    </row>
    <row r="217" customFormat="false" ht="15" hidden="false" customHeight="false" outlineLevel="0" collapsed="false">
      <c r="I217" s="8" t="s">
        <v>13</v>
      </c>
      <c r="J217" s="8" t="s">
        <v>312</v>
      </c>
      <c r="K217" s="9" t="n">
        <v>1</v>
      </c>
      <c r="L217" s="8" t="n">
        <f aca="false">COUNTIFS($I$6:$I$728,I217,$K$6:$K$728,"&gt;"&amp;K217)+1</f>
        <v>99</v>
      </c>
      <c r="M217" s="10" t="n">
        <f aca="false">K217/SUMIFS($K$6:$K$728,$I$6:$I$728,I217)</f>
        <v>0.0011454753722795</v>
      </c>
    </row>
    <row r="218" customFormat="false" ht="15" hidden="false" customHeight="false" outlineLevel="0" collapsed="false">
      <c r="I218" s="8" t="s">
        <v>13</v>
      </c>
      <c r="J218" s="8" t="s">
        <v>313</v>
      </c>
      <c r="K218" s="9" t="n">
        <v>1</v>
      </c>
      <c r="L218" s="8" t="n">
        <f aca="false">COUNTIFS($I$6:$I$728,I218,$K$6:$K$728,"&gt;"&amp;K218)+1</f>
        <v>99</v>
      </c>
      <c r="M218" s="10" t="n">
        <f aca="false">K218/SUMIFS($K$6:$K$728,$I$6:$I$728,I218)</f>
        <v>0.0011454753722795</v>
      </c>
    </row>
    <row r="219" customFormat="false" ht="15" hidden="false" customHeight="false" outlineLevel="0" collapsed="false">
      <c r="I219" s="8" t="s">
        <v>13</v>
      </c>
      <c r="J219" s="8" t="s">
        <v>314</v>
      </c>
      <c r="K219" s="9" t="n">
        <v>1</v>
      </c>
      <c r="L219" s="8" t="n">
        <f aca="false">COUNTIFS($I$6:$I$728,I219,$K$6:$K$728,"&gt;"&amp;K219)+1</f>
        <v>99</v>
      </c>
      <c r="M219" s="10" t="n">
        <f aca="false">K219/SUMIFS($K$6:$K$728,$I$6:$I$728,I219)</f>
        <v>0.0011454753722795</v>
      </c>
    </row>
    <row r="220" customFormat="false" ht="15" hidden="false" customHeight="false" outlineLevel="0" collapsed="false">
      <c r="I220" s="8" t="s">
        <v>13</v>
      </c>
      <c r="J220" s="8" t="s">
        <v>315</v>
      </c>
      <c r="K220" s="9" t="n">
        <v>1</v>
      </c>
      <c r="L220" s="8" t="n">
        <f aca="false">COUNTIFS($I$6:$I$728,I220,$K$6:$K$728,"&gt;"&amp;K220)+1</f>
        <v>99</v>
      </c>
      <c r="M220" s="10" t="n">
        <f aca="false">K220/SUMIFS($K$6:$K$728,$I$6:$I$728,I220)</f>
        <v>0.0011454753722795</v>
      </c>
    </row>
    <row r="221" customFormat="false" ht="15" hidden="false" customHeight="false" outlineLevel="0" collapsed="false">
      <c r="I221" s="8" t="s">
        <v>13</v>
      </c>
      <c r="J221" s="8" t="s">
        <v>316</v>
      </c>
      <c r="K221" s="9" t="n">
        <v>1</v>
      </c>
      <c r="L221" s="8" t="n">
        <f aca="false">COUNTIFS($I$6:$I$728,I221,$K$6:$K$728,"&gt;"&amp;K221)+1</f>
        <v>99</v>
      </c>
      <c r="M221" s="10" t="n">
        <f aca="false">K221/SUMIFS($K$6:$K$728,$I$6:$I$728,I221)</f>
        <v>0.0011454753722795</v>
      </c>
    </row>
    <row r="222" customFormat="false" ht="15" hidden="false" customHeight="false" outlineLevel="0" collapsed="false">
      <c r="I222" s="8" t="s">
        <v>13</v>
      </c>
      <c r="J222" s="8" t="s">
        <v>317</v>
      </c>
      <c r="K222" s="9" t="n">
        <v>1</v>
      </c>
      <c r="L222" s="8" t="n">
        <f aca="false">COUNTIFS($I$6:$I$728,I222,$K$6:$K$728,"&gt;"&amp;K222)+1</f>
        <v>99</v>
      </c>
      <c r="M222" s="10" t="n">
        <f aca="false">K222/SUMIFS($K$6:$K$728,$I$6:$I$728,I222)</f>
        <v>0.0011454753722795</v>
      </c>
    </row>
    <row r="223" customFormat="false" ht="15" hidden="false" customHeight="false" outlineLevel="0" collapsed="false">
      <c r="I223" s="8" t="s">
        <v>13</v>
      </c>
      <c r="J223" s="8" t="s">
        <v>318</v>
      </c>
      <c r="K223" s="9" t="n">
        <v>1</v>
      </c>
      <c r="L223" s="8" t="n">
        <f aca="false">COUNTIFS($I$6:$I$728,I223,$K$6:$K$728,"&gt;"&amp;K223)+1</f>
        <v>99</v>
      </c>
      <c r="M223" s="10" t="n">
        <f aca="false">K223/SUMIFS($K$6:$K$728,$I$6:$I$728,I223)</f>
        <v>0.0011454753722795</v>
      </c>
    </row>
    <row r="224" customFormat="false" ht="15" hidden="false" customHeight="false" outlineLevel="0" collapsed="false">
      <c r="I224" s="8" t="s">
        <v>13</v>
      </c>
      <c r="J224" s="8" t="s">
        <v>319</v>
      </c>
      <c r="K224" s="9" t="n">
        <v>1</v>
      </c>
      <c r="L224" s="8" t="n">
        <f aca="false">COUNTIFS($I$6:$I$728,I224,$K$6:$K$728,"&gt;"&amp;K224)+1</f>
        <v>99</v>
      </c>
      <c r="M224" s="10" t="n">
        <f aca="false">K224/SUMIFS($K$6:$K$728,$I$6:$I$728,I224)</f>
        <v>0.0011454753722795</v>
      </c>
    </row>
    <row r="225" customFormat="false" ht="15" hidden="false" customHeight="false" outlineLevel="0" collapsed="false">
      <c r="I225" s="8" t="s">
        <v>13</v>
      </c>
      <c r="J225" s="8" t="s">
        <v>320</v>
      </c>
      <c r="K225" s="9" t="n">
        <v>1</v>
      </c>
      <c r="L225" s="8" t="n">
        <f aca="false">COUNTIFS($I$6:$I$728,I225,$K$6:$K$728,"&gt;"&amp;K225)+1</f>
        <v>99</v>
      </c>
      <c r="M225" s="10" t="n">
        <f aca="false">K225/SUMIFS($K$6:$K$728,$I$6:$I$728,I225)</f>
        <v>0.0011454753722795</v>
      </c>
    </row>
    <row r="226" customFormat="false" ht="15" hidden="false" customHeight="false" outlineLevel="0" collapsed="false">
      <c r="I226" s="8" t="s">
        <v>13</v>
      </c>
      <c r="J226" s="8" t="s">
        <v>321</v>
      </c>
      <c r="K226" s="9" t="n">
        <v>1</v>
      </c>
      <c r="L226" s="8" t="n">
        <f aca="false">COUNTIFS($I$6:$I$728,I226,$K$6:$K$728,"&gt;"&amp;K226)+1</f>
        <v>99</v>
      </c>
      <c r="M226" s="10" t="n">
        <f aca="false">K226/SUMIFS($K$6:$K$728,$I$6:$I$728,I226)</f>
        <v>0.0011454753722795</v>
      </c>
    </row>
    <row r="227" customFormat="false" ht="15" hidden="false" customHeight="false" outlineLevel="0" collapsed="false">
      <c r="I227" s="8" t="s">
        <v>13</v>
      </c>
      <c r="J227" s="8" t="s">
        <v>322</v>
      </c>
      <c r="K227" s="9" t="n">
        <v>1</v>
      </c>
      <c r="L227" s="8" t="n">
        <f aca="false">COUNTIFS($I$6:$I$728,I227,$K$6:$K$728,"&gt;"&amp;K227)+1</f>
        <v>99</v>
      </c>
      <c r="M227" s="10" t="n">
        <f aca="false">K227/SUMIFS($K$6:$K$728,$I$6:$I$728,I227)</f>
        <v>0.0011454753722795</v>
      </c>
    </row>
    <row r="228" customFormat="false" ht="15" hidden="false" customHeight="false" outlineLevel="0" collapsed="false">
      <c r="I228" s="8" t="s">
        <v>13</v>
      </c>
      <c r="J228" s="8" t="s">
        <v>323</v>
      </c>
      <c r="K228" s="9" t="n">
        <v>1</v>
      </c>
      <c r="L228" s="8" t="n">
        <f aca="false">COUNTIFS($I$6:$I$728,I228,$K$6:$K$728,"&gt;"&amp;K228)+1</f>
        <v>99</v>
      </c>
      <c r="M228" s="10" t="n">
        <f aca="false">K228/SUMIFS($K$6:$K$728,$I$6:$I$728,I228)</f>
        <v>0.0011454753722795</v>
      </c>
    </row>
    <row r="229" customFormat="false" ht="15" hidden="false" customHeight="false" outlineLevel="0" collapsed="false">
      <c r="I229" s="8" t="s">
        <v>13</v>
      </c>
      <c r="J229" s="8" t="s">
        <v>324</v>
      </c>
      <c r="K229" s="9" t="n">
        <v>1</v>
      </c>
      <c r="L229" s="8" t="n">
        <f aca="false">COUNTIFS($I$6:$I$728,I229,$K$6:$K$728,"&gt;"&amp;K229)+1</f>
        <v>99</v>
      </c>
      <c r="M229" s="10" t="n">
        <f aca="false">K229/SUMIFS($K$6:$K$728,$I$6:$I$728,I229)</f>
        <v>0.0011454753722795</v>
      </c>
    </row>
    <row r="230" customFormat="false" ht="15" hidden="false" customHeight="false" outlineLevel="0" collapsed="false">
      <c r="I230" s="8" t="s">
        <v>13</v>
      </c>
      <c r="J230" s="8" t="s">
        <v>325</v>
      </c>
      <c r="K230" s="9" t="n">
        <v>1</v>
      </c>
      <c r="L230" s="8" t="n">
        <f aca="false">COUNTIFS($I$6:$I$728,I230,$K$6:$K$728,"&gt;"&amp;K230)+1</f>
        <v>99</v>
      </c>
      <c r="M230" s="10" t="n">
        <f aca="false">K230/SUMIFS($K$6:$K$728,$I$6:$I$728,I230)</f>
        <v>0.0011454753722795</v>
      </c>
    </row>
    <row r="231" customFormat="false" ht="15" hidden="false" customHeight="false" outlineLevel="0" collapsed="false">
      <c r="I231" s="8" t="s">
        <v>13</v>
      </c>
      <c r="J231" s="8" t="s">
        <v>326</v>
      </c>
      <c r="K231" s="9" t="n">
        <v>1</v>
      </c>
      <c r="L231" s="8" t="n">
        <f aca="false">COUNTIFS($I$6:$I$728,I231,$K$6:$K$728,"&gt;"&amp;K231)+1</f>
        <v>99</v>
      </c>
      <c r="M231" s="10" t="n">
        <f aca="false">K231/SUMIFS($K$6:$K$728,$I$6:$I$728,I231)</f>
        <v>0.0011454753722795</v>
      </c>
    </row>
    <row r="232" customFormat="false" ht="15" hidden="false" customHeight="false" outlineLevel="0" collapsed="false">
      <c r="I232" s="8" t="s">
        <v>13</v>
      </c>
      <c r="J232" s="8" t="s">
        <v>327</v>
      </c>
      <c r="K232" s="9" t="n">
        <v>1</v>
      </c>
      <c r="L232" s="8" t="n">
        <f aca="false">COUNTIFS($I$6:$I$728,I232,$K$6:$K$728,"&gt;"&amp;K232)+1</f>
        <v>99</v>
      </c>
      <c r="M232" s="10" t="n">
        <f aca="false">K232/SUMIFS($K$6:$K$728,$I$6:$I$728,I232)</f>
        <v>0.0011454753722795</v>
      </c>
    </row>
    <row r="233" customFormat="false" ht="15" hidden="false" customHeight="false" outlineLevel="0" collapsed="false">
      <c r="I233" s="8" t="s">
        <v>13</v>
      </c>
      <c r="J233" s="8" t="s">
        <v>328</v>
      </c>
      <c r="K233" s="9" t="n">
        <v>1</v>
      </c>
      <c r="L233" s="8" t="n">
        <f aca="false">COUNTIFS($I$6:$I$728,I233,$K$6:$K$728,"&gt;"&amp;K233)+1</f>
        <v>99</v>
      </c>
      <c r="M233" s="10" t="n">
        <f aca="false">K233/SUMIFS($K$6:$K$728,$I$6:$I$728,I233)</f>
        <v>0.0011454753722795</v>
      </c>
    </row>
    <row r="234" customFormat="false" ht="15" hidden="false" customHeight="false" outlineLevel="0" collapsed="false">
      <c r="I234" s="8" t="s">
        <v>13</v>
      </c>
      <c r="J234" s="8" t="s">
        <v>329</v>
      </c>
      <c r="K234" s="9" t="n">
        <v>1</v>
      </c>
      <c r="L234" s="8" t="n">
        <f aca="false">COUNTIFS($I$6:$I$728,I234,$K$6:$K$728,"&gt;"&amp;K234)+1</f>
        <v>99</v>
      </c>
      <c r="M234" s="10" t="n">
        <f aca="false">K234/SUMIFS($K$6:$K$728,$I$6:$I$728,I234)</f>
        <v>0.0011454753722795</v>
      </c>
    </row>
    <row r="235" customFormat="false" ht="15" hidden="false" customHeight="false" outlineLevel="0" collapsed="false">
      <c r="I235" s="8" t="s">
        <v>13</v>
      </c>
      <c r="J235" s="8" t="s">
        <v>330</v>
      </c>
      <c r="K235" s="9" t="n">
        <v>1</v>
      </c>
      <c r="L235" s="8" t="n">
        <f aca="false">COUNTIFS($I$6:$I$728,I235,$K$6:$K$728,"&gt;"&amp;K235)+1</f>
        <v>99</v>
      </c>
      <c r="M235" s="10" t="n">
        <f aca="false">K235/SUMIFS($K$6:$K$728,$I$6:$I$728,I235)</f>
        <v>0.0011454753722795</v>
      </c>
    </row>
    <row r="236" customFormat="false" ht="15" hidden="false" customHeight="false" outlineLevel="0" collapsed="false">
      <c r="I236" s="8" t="s">
        <v>13</v>
      </c>
      <c r="J236" s="8" t="s">
        <v>331</v>
      </c>
      <c r="K236" s="9" t="n">
        <v>1</v>
      </c>
      <c r="L236" s="8" t="n">
        <f aca="false">COUNTIFS($I$6:$I$728,I236,$K$6:$K$728,"&gt;"&amp;K236)+1</f>
        <v>99</v>
      </c>
      <c r="M236" s="10" t="n">
        <f aca="false">K236/SUMIFS($K$6:$K$728,$I$6:$I$728,I236)</f>
        <v>0.0011454753722795</v>
      </c>
    </row>
    <row r="237" customFormat="false" ht="15" hidden="false" customHeight="false" outlineLevel="0" collapsed="false">
      <c r="I237" s="8" t="s">
        <v>13</v>
      </c>
      <c r="J237" s="8" t="s">
        <v>332</v>
      </c>
      <c r="K237" s="9" t="n">
        <v>1</v>
      </c>
      <c r="L237" s="8" t="n">
        <f aca="false">COUNTIFS($I$6:$I$728,I237,$K$6:$K$728,"&gt;"&amp;K237)+1</f>
        <v>99</v>
      </c>
      <c r="M237" s="10" t="n">
        <f aca="false">K237/SUMIFS($K$6:$K$728,$I$6:$I$728,I237)</f>
        <v>0.0011454753722795</v>
      </c>
    </row>
    <row r="238" customFormat="false" ht="15" hidden="false" customHeight="false" outlineLevel="0" collapsed="false">
      <c r="I238" s="8" t="s">
        <v>13</v>
      </c>
      <c r="J238" s="8" t="s">
        <v>333</v>
      </c>
      <c r="K238" s="9" t="n">
        <v>1</v>
      </c>
      <c r="L238" s="8" t="n">
        <f aca="false">COUNTIFS($I$6:$I$728,I238,$K$6:$K$728,"&gt;"&amp;K238)+1</f>
        <v>99</v>
      </c>
      <c r="M238" s="10" t="n">
        <f aca="false">K238/SUMIFS($K$6:$K$728,$I$6:$I$728,I238)</f>
        <v>0.0011454753722795</v>
      </c>
    </row>
    <row r="239" customFormat="false" ht="15" hidden="false" customHeight="false" outlineLevel="0" collapsed="false">
      <c r="I239" s="8" t="s">
        <v>13</v>
      </c>
      <c r="J239" s="8" t="s">
        <v>334</v>
      </c>
      <c r="K239" s="9" t="n">
        <v>1</v>
      </c>
      <c r="L239" s="8" t="n">
        <f aca="false">COUNTIFS($I$6:$I$728,I239,$K$6:$K$728,"&gt;"&amp;K239)+1</f>
        <v>99</v>
      </c>
      <c r="M239" s="10" t="n">
        <f aca="false">K239/SUMIFS($K$6:$K$728,$I$6:$I$728,I239)</f>
        <v>0.0011454753722795</v>
      </c>
    </row>
    <row r="240" customFormat="false" ht="15" hidden="false" customHeight="false" outlineLevel="0" collapsed="false">
      <c r="I240" s="8" t="s">
        <v>13</v>
      </c>
      <c r="J240" s="8" t="s">
        <v>335</v>
      </c>
      <c r="K240" s="9" t="n">
        <v>1</v>
      </c>
      <c r="L240" s="8" t="n">
        <f aca="false">COUNTIFS($I$6:$I$728,I240,$K$6:$K$728,"&gt;"&amp;K240)+1</f>
        <v>99</v>
      </c>
      <c r="M240" s="10" t="n">
        <f aca="false">K240/SUMIFS($K$6:$K$728,$I$6:$I$728,I240)</f>
        <v>0.0011454753722795</v>
      </c>
    </row>
    <row r="241" customFormat="false" ht="15" hidden="false" customHeight="false" outlineLevel="0" collapsed="false">
      <c r="I241" s="8" t="s">
        <v>13</v>
      </c>
      <c r="J241" s="8" t="s">
        <v>336</v>
      </c>
      <c r="K241" s="9" t="n">
        <v>1</v>
      </c>
      <c r="L241" s="8" t="n">
        <f aca="false">COUNTIFS($I$6:$I$728,I241,$K$6:$K$728,"&gt;"&amp;K241)+1</f>
        <v>99</v>
      </c>
      <c r="M241" s="10" t="n">
        <f aca="false">K241/SUMIFS($K$6:$K$728,$I$6:$I$728,I241)</f>
        <v>0.0011454753722795</v>
      </c>
    </row>
    <row r="242" customFormat="false" ht="15" hidden="false" customHeight="false" outlineLevel="0" collapsed="false">
      <c r="I242" s="8" t="s">
        <v>13</v>
      </c>
      <c r="J242" s="8" t="s">
        <v>337</v>
      </c>
      <c r="K242" s="9" t="n">
        <v>1</v>
      </c>
      <c r="L242" s="8" t="n">
        <f aca="false">COUNTIFS($I$6:$I$728,I242,$K$6:$K$728,"&gt;"&amp;K242)+1</f>
        <v>99</v>
      </c>
      <c r="M242" s="10" t="n">
        <f aca="false">K242/SUMIFS($K$6:$K$728,$I$6:$I$728,I242)</f>
        <v>0.0011454753722795</v>
      </c>
    </row>
    <row r="243" customFormat="false" ht="15" hidden="false" customHeight="false" outlineLevel="0" collapsed="false">
      <c r="I243" s="8" t="s">
        <v>13</v>
      </c>
      <c r="J243" s="8" t="s">
        <v>338</v>
      </c>
      <c r="K243" s="9" t="n">
        <v>1</v>
      </c>
      <c r="L243" s="8" t="n">
        <f aca="false">COUNTIFS($I$6:$I$728,I243,$K$6:$K$728,"&gt;"&amp;K243)+1</f>
        <v>99</v>
      </c>
      <c r="M243" s="10" t="n">
        <f aca="false">K243/SUMIFS($K$6:$K$728,$I$6:$I$728,I243)</f>
        <v>0.0011454753722795</v>
      </c>
    </row>
    <row r="244" customFormat="false" ht="15" hidden="false" customHeight="false" outlineLevel="0" collapsed="false">
      <c r="I244" s="8" t="s">
        <v>13</v>
      </c>
      <c r="J244" s="8" t="s">
        <v>339</v>
      </c>
      <c r="K244" s="9" t="n">
        <v>1</v>
      </c>
      <c r="L244" s="8" t="n">
        <f aca="false">COUNTIFS($I$6:$I$728,I244,$K$6:$K$728,"&gt;"&amp;K244)+1</f>
        <v>99</v>
      </c>
      <c r="M244" s="10" t="n">
        <f aca="false">K244/SUMIFS($K$6:$K$728,$I$6:$I$728,I244)</f>
        <v>0.0011454753722795</v>
      </c>
    </row>
    <row r="245" customFormat="false" ht="15" hidden="false" customHeight="false" outlineLevel="0" collapsed="false">
      <c r="I245" s="8" t="s">
        <v>13</v>
      </c>
      <c r="J245" s="8" t="s">
        <v>340</v>
      </c>
      <c r="K245" s="9" t="n">
        <v>1</v>
      </c>
      <c r="L245" s="8" t="n">
        <f aca="false">COUNTIFS($I$6:$I$728,I245,$K$6:$K$728,"&gt;"&amp;K245)+1</f>
        <v>99</v>
      </c>
      <c r="M245" s="10" t="n">
        <f aca="false">K245/SUMIFS($K$6:$K$728,$I$6:$I$728,I245)</f>
        <v>0.0011454753722795</v>
      </c>
    </row>
    <row r="246" customFormat="false" ht="15" hidden="false" customHeight="false" outlineLevel="0" collapsed="false">
      <c r="I246" s="8" t="s">
        <v>13</v>
      </c>
      <c r="J246" s="8" t="s">
        <v>341</v>
      </c>
      <c r="K246" s="9" t="n">
        <v>1</v>
      </c>
      <c r="L246" s="8" t="n">
        <f aca="false">COUNTIFS($I$6:$I$728,I246,$K$6:$K$728,"&gt;"&amp;K246)+1</f>
        <v>99</v>
      </c>
      <c r="M246" s="10" t="n">
        <f aca="false">K246/SUMIFS($K$6:$K$728,$I$6:$I$728,I246)</f>
        <v>0.0011454753722795</v>
      </c>
    </row>
    <row r="247" customFormat="false" ht="15" hidden="false" customHeight="false" outlineLevel="0" collapsed="false">
      <c r="I247" s="8" t="s">
        <v>13</v>
      </c>
      <c r="J247" s="8" t="s">
        <v>342</v>
      </c>
      <c r="K247" s="9" t="n">
        <v>1</v>
      </c>
      <c r="L247" s="8" t="n">
        <f aca="false">COUNTIFS($I$6:$I$728,I247,$K$6:$K$728,"&gt;"&amp;K247)+1</f>
        <v>99</v>
      </c>
      <c r="M247" s="10" t="n">
        <f aca="false">K247/SUMIFS($K$6:$K$728,$I$6:$I$728,I247)</f>
        <v>0.0011454753722795</v>
      </c>
    </row>
    <row r="248" customFormat="false" ht="15" hidden="false" customHeight="false" outlineLevel="0" collapsed="false">
      <c r="I248" s="8" t="s">
        <v>13</v>
      </c>
      <c r="J248" s="8" t="s">
        <v>343</v>
      </c>
      <c r="K248" s="9" t="n">
        <v>1</v>
      </c>
      <c r="L248" s="8" t="n">
        <f aca="false">COUNTIFS($I$6:$I$728,I248,$K$6:$K$728,"&gt;"&amp;K248)+1</f>
        <v>99</v>
      </c>
      <c r="M248" s="10" t="n">
        <f aca="false">K248/SUMIFS($K$6:$K$728,$I$6:$I$728,I248)</f>
        <v>0.0011454753722795</v>
      </c>
    </row>
    <row r="249" customFormat="false" ht="15" hidden="false" customHeight="false" outlineLevel="0" collapsed="false">
      <c r="I249" s="8" t="s">
        <v>13</v>
      </c>
      <c r="J249" s="8" t="s">
        <v>344</v>
      </c>
      <c r="K249" s="9" t="n">
        <v>1</v>
      </c>
      <c r="L249" s="8" t="n">
        <f aca="false">COUNTIFS($I$6:$I$728,I249,$K$6:$K$728,"&gt;"&amp;K249)+1</f>
        <v>99</v>
      </c>
      <c r="M249" s="10" t="n">
        <f aca="false">K249/SUMIFS($K$6:$K$728,$I$6:$I$728,I249)</f>
        <v>0.0011454753722795</v>
      </c>
    </row>
    <row r="250" customFormat="false" ht="15" hidden="false" customHeight="false" outlineLevel="0" collapsed="false">
      <c r="I250" s="8" t="s">
        <v>13</v>
      </c>
      <c r="J250" s="8" t="s">
        <v>345</v>
      </c>
      <c r="K250" s="9" t="n">
        <v>1</v>
      </c>
      <c r="L250" s="8" t="n">
        <f aca="false">COUNTIFS($I$6:$I$728,I250,$K$6:$K$728,"&gt;"&amp;K250)+1</f>
        <v>99</v>
      </c>
      <c r="M250" s="10" t="n">
        <f aca="false">K250/SUMIFS($K$6:$K$728,$I$6:$I$728,I250)</f>
        <v>0.0011454753722795</v>
      </c>
    </row>
    <row r="251" customFormat="false" ht="15" hidden="false" customHeight="false" outlineLevel="0" collapsed="false">
      <c r="I251" s="8" t="s">
        <v>13</v>
      </c>
      <c r="J251" s="8" t="s">
        <v>346</v>
      </c>
      <c r="K251" s="9" t="n">
        <v>1</v>
      </c>
      <c r="L251" s="8" t="n">
        <f aca="false">COUNTIFS($I$6:$I$728,I251,$K$6:$K$728,"&gt;"&amp;K251)+1</f>
        <v>99</v>
      </c>
      <c r="M251" s="10" t="n">
        <f aca="false">K251/SUMIFS($K$6:$K$728,$I$6:$I$728,I251)</f>
        <v>0.0011454753722795</v>
      </c>
    </row>
    <row r="252" customFormat="false" ht="15" hidden="false" customHeight="false" outlineLevel="0" collapsed="false">
      <c r="I252" s="8" t="s">
        <v>13</v>
      </c>
      <c r="J252" s="8" t="s">
        <v>347</v>
      </c>
      <c r="K252" s="9" t="n">
        <v>1</v>
      </c>
      <c r="L252" s="8" t="n">
        <f aca="false">COUNTIFS($I$6:$I$728,I252,$K$6:$K$728,"&gt;"&amp;K252)+1</f>
        <v>99</v>
      </c>
      <c r="M252" s="10" t="n">
        <f aca="false">K252/SUMIFS($K$6:$K$728,$I$6:$I$728,I252)</f>
        <v>0.0011454753722795</v>
      </c>
    </row>
    <row r="253" customFormat="false" ht="15" hidden="false" customHeight="false" outlineLevel="0" collapsed="false">
      <c r="I253" s="8" t="s">
        <v>13</v>
      </c>
      <c r="J253" s="8" t="s">
        <v>348</v>
      </c>
      <c r="K253" s="9" t="n">
        <v>1</v>
      </c>
      <c r="L253" s="8" t="n">
        <f aca="false">COUNTIFS($I$6:$I$728,I253,$K$6:$K$728,"&gt;"&amp;K253)+1</f>
        <v>99</v>
      </c>
      <c r="M253" s="10" t="n">
        <f aca="false">K253/SUMIFS($K$6:$K$728,$I$6:$I$728,I253)</f>
        <v>0.0011454753722795</v>
      </c>
    </row>
    <row r="254" customFormat="false" ht="15" hidden="false" customHeight="false" outlineLevel="0" collapsed="false">
      <c r="I254" s="8" t="s">
        <v>13</v>
      </c>
      <c r="J254" s="8" t="s">
        <v>349</v>
      </c>
      <c r="K254" s="9" t="n">
        <v>1</v>
      </c>
      <c r="L254" s="8" t="n">
        <f aca="false">COUNTIFS($I$6:$I$728,I254,$K$6:$K$728,"&gt;"&amp;K254)+1</f>
        <v>99</v>
      </c>
      <c r="M254" s="10" t="n">
        <f aca="false">K254/SUMIFS($K$6:$K$728,$I$6:$I$728,I254)</f>
        <v>0.0011454753722795</v>
      </c>
    </row>
    <row r="255" customFormat="false" ht="15" hidden="false" customHeight="false" outlineLevel="0" collapsed="false">
      <c r="I255" s="8" t="s">
        <v>13</v>
      </c>
      <c r="J255" s="8" t="s">
        <v>350</v>
      </c>
      <c r="K255" s="9" t="n">
        <v>1</v>
      </c>
      <c r="L255" s="8" t="n">
        <f aca="false">COUNTIFS($I$6:$I$728,I255,$K$6:$K$728,"&gt;"&amp;K255)+1</f>
        <v>99</v>
      </c>
      <c r="M255" s="10" t="n">
        <f aca="false">K255/SUMIFS($K$6:$K$728,$I$6:$I$728,I255)</f>
        <v>0.0011454753722795</v>
      </c>
    </row>
    <row r="256" customFormat="false" ht="15" hidden="false" customHeight="false" outlineLevel="0" collapsed="false">
      <c r="I256" s="8" t="s">
        <v>18</v>
      </c>
      <c r="J256" s="8" t="s">
        <v>81</v>
      </c>
      <c r="K256" s="9" t="n">
        <v>191</v>
      </c>
      <c r="L256" s="8" t="n">
        <f aca="false">COUNTIFS($I$6:$I$728,I256,$K$6:$K$728,"&gt;"&amp;K256)+1</f>
        <v>1</v>
      </c>
      <c r="M256" s="10" t="n">
        <f aca="false">K256/SUMIFS($K$6:$K$728,$I$6:$I$728,I256)</f>
        <v>0.521857923497268</v>
      </c>
    </row>
    <row r="257" customFormat="false" ht="15" hidden="false" customHeight="false" outlineLevel="0" collapsed="false">
      <c r="I257" s="8" t="s">
        <v>18</v>
      </c>
      <c r="J257" s="8" t="s">
        <v>83</v>
      </c>
      <c r="K257" s="9" t="n">
        <v>15</v>
      </c>
      <c r="L257" s="8" t="n">
        <f aca="false">COUNTIFS($I$6:$I$728,I257,$K$6:$K$728,"&gt;"&amp;K257)+1</f>
        <v>2</v>
      </c>
      <c r="M257" s="10" t="n">
        <f aca="false">K257/SUMIFS($K$6:$K$728,$I$6:$I$728,I257)</f>
        <v>0.040983606557377</v>
      </c>
    </row>
    <row r="258" customFormat="false" ht="15" hidden="false" customHeight="false" outlineLevel="0" collapsed="false">
      <c r="I258" s="8" t="s">
        <v>18</v>
      </c>
      <c r="J258" s="8" t="s">
        <v>85</v>
      </c>
      <c r="K258" s="9" t="n">
        <v>14</v>
      </c>
      <c r="L258" s="8" t="n">
        <f aca="false">COUNTIFS($I$6:$I$728,I258,$K$6:$K$728,"&gt;"&amp;K258)+1</f>
        <v>3</v>
      </c>
      <c r="M258" s="10" t="n">
        <f aca="false">K258/SUMIFS($K$6:$K$728,$I$6:$I$728,I258)</f>
        <v>0.0382513661202186</v>
      </c>
    </row>
    <row r="259" customFormat="false" ht="15" hidden="false" customHeight="false" outlineLevel="0" collapsed="false">
      <c r="I259" s="8" t="s">
        <v>18</v>
      </c>
      <c r="J259" s="8" t="s">
        <v>87</v>
      </c>
      <c r="K259" s="9" t="n">
        <v>11</v>
      </c>
      <c r="L259" s="8" t="n">
        <f aca="false">COUNTIFS($I$6:$I$728,I259,$K$6:$K$728,"&gt;"&amp;K259)+1</f>
        <v>4</v>
      </c>
      <c r="M259" s="10" t="n">
        <f aca="false">K259/SUMIFS($K$6:$K$728,$I$6:$I$728,I259)</f>
        <v>0.0300546448087432</v>
      </c>
    </row>
    <row r="260" customFormat="false" ht="15" hidden="false" customHeight="false" outlineLevel="0" collapsed="false">
      <c r="I260" s="8" t="s">
        <v>18</v>
      </c>
      <c r="J260" s="8" t="s">
        <v>89</v>
      </c>
      <c r="K260" s="9" t="n">
        <v>6</v>
      </c>
      <c r="L260" s="8" t="n">
        <f aca="false">COUNTIFS($I$6:$I$728,I260,$K$6:$K$728,"&gt;"&amp;K260)+1</f>
        <v>5</v>
      </c>
      <c r="M260" s="10" t="n">
        <f aca="false">K260/SUMIFS($K$6:$K$728,$I$6:$I$728,I260)</f>
        <v>0.0163934426229508</v>
      </c>
    </row>
    <row r="261" customFormat="false" ht="15" hidden="false" customHeight="false" outlineLevel="0" collapsed="false">
      <c r="I261" s="8" t="s">
        <v>18</v>
      </c>
      <c r="J261" s="8" t="s">
        <v>91</v>
      </c>
      <c r="K261" s="9" t="n">
        <v>6</v>
      </c>
      <c r="L261" s="8" t="n">
        <f aca="false">COUNTIFS($I$6:$I$728,I261,$K$6:$K$728,"&gt;"&amp;K261)+1</f>
        <v>5</v>
      </c>
      <c r="M261" s="10" t="n">
        <f aca="false">K261/SUMIFS($K$6:$K$728,$I$6:$I$728,I261)</f>
        <v>0.0163934426229508</v>
      </c>
    </row>
    <row r="262" customFormat="false" ht="15" hidden="false" customHeight="false" outlineLevel="0" collapsed="false">
      <c r="I262" s="8" t="s">
        <v>18</v>
      </c>
      <c r="J262" s="8" t="s">
        <v>93</v>
      </c>
      <c r="K262" s="9" t="n">
        <v>6</v>
      </c>
      <c r="L262" s="8" t="n">
        <f aca="false">COUNTIFS($I$6:$I$728,I262,$K$6:$K$728,"&gt;"&amp;K262)+1</f>
        <v>5</v>
      </c>
      <c r="M262" s="10" t="n">
        <f aca="false">K262/SUMIFS($K$6:$K$728,$I$6:$I$728,I262)</f>
        <v>0.0163934426229508</v>
      </c>
    </row>
    <row r="263" customFormat="false" ht="15" hidden="false" customHeight="false" outlineLevel="0" collapsed="false">
      <c r="I263" s="8" t="s">
        <v>18</v>
      </c>
      <c r="J263" s="8" t="s">
        <v>95</v>
      </c>
      <c r="K263" s="9" t="n">
        <v>6</v>
      </c>
      <c r="L263" s="8" t="n">
        <f aca="false">COUNTIFS($I$6:$I$728,I263,$K$6:$K$728,"&gt;"&amp;K263)+1</f>
        <v>5</v>
      </c>
      <c r="M263" s="10" t="n">
        <f aca="false">K263/SUMIFS($K$6:$K$728,$I$6:$I$728,I263)</f>
        <v>0.0163934426229508</v>
      </c>
    </row>
    <row r="264" customFormat="false" ht="15" hidden="false" customHeight="false" outlineLevel="0" collapsed="false">
      <c r="I264" s="8" t="s">
        <v>18</v>
      </c>
      <c r="J264" s="8" t="s">
        <v>97</v>
      </c>
      <c r="K264" s="9" t="n">
        <v>5</v>
      </c>
      <c r="L264" s="8" t="n">
        <f aca="false">COUNTIFS($I$6:$I$728,I264,$K$6:$K$728,"&gt;"&amp;K264)+1</f>
        <v>9</v>
      </c>
      <c r="M264" s="10" t="n">
        <f aca="false">K264/SUMIFS($K$6:$K$728,$I$6:$I$728,I264)</f>
        <v>0.0136612021857924</v>
      </c>
    </row>
    <row r="265" customFormat="false" ht="15" hidden="false" customHeight="false" outlineLevel="0" collapsed="false">
      <c r="I265" s="8" t="s">
        <v>18</v>
      </c>
      <c r="J265" s="8" t="s">
        <v>99</v>
      </c>
      <c r="K265" s="9" t="n">
        <v>4</v>
      </c>
      <c r="L265" s="8" t="n">
        <f aca="false">COUNTIFS($I$6:$I$728,I265,$K$6:$K$728,"&gt;"&amp;K265)+1</f>
        <v>10</v>
      </c>
      <c r="M265" s="10" t="n">
        <f aca="false">K265/SUMIFS($K$6:$K$728,$I$6:$I$728,I265)</f>
        <v>0.0109289617486339</v>
      </c>
    </row>
    <row r="266" customFormat="false" ht="15" hidden="false" customHeight="false" outlineLevel="0" collapsed="false">
      <c r="I266" s="8" t="s">
        <v>18</v>
      </c>
      <c r="J266" s="8" t="s">
        <v>351</v>
      </c>
      <c r="K266" s="9" t="n">
        <v>3</v>
      </c>
      <c r="L266" s="8" t="n">
        <f aca="false">COUNTIFS($I$6:$I$728,I266,$K$6:$K$728,"&gt;"&amp;K266)+1</f>
        <v>11</v>
      </c>
      <c r="M266" s="10" t="n">
        <f aca="false">K266/SUMIFS($K$6:$K$728,$I$6:$I$728,I266)</f>
        <v>0.00819672131147541</v>
      </c>
    </row>
    <row r="267" customFormat="false" ht="15" hidden="false" customHeight="false" outlineLevel="0" collapsed="false">
      <c r="I267" s="8" t="s">
        <v>18</v>
      </c>
      <c r="J267" s="8" t="s">
        <v>352</v>
      </c>
      <c r="K267" s="9" t="n">
        <v>3</v>
      </c>
      <c r="L267" s="8" t="n">
        <f aca="false">COUNTIFS($I$6:$I$728,I267,$K$6:$K$728,"&gt;"&amp;K267)+1</f>
        <v>11</v>
      </c>
      <c r="M267" s="10" t="n">
        <f aca="false">K267/SUMIFS($K$6:$K$728,$I$6:$I$728,I267)</f>
        <v>0.00819672131147541</v>
      </c>
    </row>
    <row r="268" customFormat="false" ht="15" hidden="false" customHeight="false" outlineLevel="0" collapsed="false">
      <c r="I268" s="8" t="s">
        <v>18</v>
      </c>
      <c r="J268" s="8" t="s">
        <v>353</v>
      </c>
      <c r="K268" s="9" t="n">
        <v>3</v>
      </c>
      <c r="L268" s="8" t="n">
        <f aca="false">COUNTIFS($I$6:$I$728,I268,$K$6:$K$728,"&gt;"&amp;K268)+1</f>
        <v>11</v>
      </c>
      <c r="M268" s="10" t="n">
        <f aca="false">K268/SUMIFS($K$6:$K$728,$I$6:$I$728,I268)</f>
        <v>0.00819672131147541</v>
      </c>
    </row>
    <row r="269" customFormat="false" ht="15" hidden="false" customHeight="false" outlineLevel="0" collapsed="false">
      <c r="I269" s="8" t="s">
        <v>18</v>
      </c>
      <c r="J269" s="8" t="s">
        <v>354</v>
      </c>
      <c r="K269" s="9" t="n">
        <v>3</v>
      </c>
      <c r="L269" s="8" t="n">
        <f aca="false">COUNTIFS($I$6:$I$728,I269,$K$6:$K$728,"&gt;"&amp;K269)+1</f>
        <v>11</v>
      </c>
      <c r="M269" s="10" t="n">
        <f aca="false">K269/SUMIFS($K$6:$K$728,$I$6:$I$728,I269)</f>
        <v>0.00819672131147541</v>
      </c>
    </row>
    <row r="270" customFormat="false" ht="15" hidden="false" customHeight="false" outlineLevel="0" collapsed="false">
      <c r="I270" s="8" t="s">
        <v>18</v>
      </c>
      <c r="J270" s="8" t="s">
        <v>355</v>
      </c>
      <c r="K270" s="9" t="n">
        <v>3</v>
      </c>
      <c r="L270" s="8" t="n">
        <f aca="false">COUNTIFS($I$6:$I$728,I270,$K$6:$K$728,"&gt;"&amp;K270)+1</f>
        <v>11</v>
      </c>
      <c r="M270" s="10" t="n">
        <f aca="false">K270/SUMIFS($K$6:$K$728,$I$6:$I$728,I270)</f>
        <v>0.00819672131147541</v>
      </c>
    </row>
    <row r="271" customFormat="false" ht="15" hidden="false" customHeight="false" outlineLevel="0" collapsed="false">
      <c r="I271" s="8" t="s">
        <v>18</v>
      </c>
      <c r="J271" s="8" t="s">
        <v>356</v>
      </c>
      <c r="K271" s="9" t="n">
        <v>3</v>
      </c>
      <c r="L271" s="8" t="n">
        <f aca="false">COUNTIFS($I$6:$I$728,I271,$K$6:$K$728,"&gt;"&amp;K271)+1</f>
        <v>11</v>
      </c>
      <c r="M271" s="10" t="n">
        <f aca="false">K271/SUMIFS($K$6:$K$728,$I$6:$I$728,I271)</f>
        <v>0.00819672131147541</v>
      </c>
    </row>
    <row r="272" customFormat="false" ht="15" hidden="false" customHeight="false" outlineLevel="0" collapsed="false">
      <c r="I272" s="8" t="s">
        <v>18</v>
      </c>
      <c r="J272" s="8" t="s">
        <v>357</v>
      </c>
      <c r="K272" s="9" t="n">
        <v>3</v>
      </c>
      <c r="L272" s="8" t="n">
        <f aca="false">COUNTIFS($I$6:$I$728,I272,$K$6:$K$728,"&gt;"&amp;K272)+1</f>
        <v>11</v>
      </c>
      <c r="M272" s="10" t="n">
        <f aca="false">K272/SUMIFS($K$6:$K$728,$I$6:$I$728,I272)</f>
        <v>0.00819672131147541</v>
      </c>
    </row>
    <row r="273" customFormat="false" ht="15" hidden="false" customHeight="false" outlineLevel="0" collapsed="false">
      <c r="I273" s="8" t="s">
        <v>18</v>
      </c>
      <c r="J273" s="8" t="s">
        <v>358</v>
      </c>
      <c r="K273" s="9" t="n">
        <v>2</v>
      </c>
      <c r="L273" s="8" t="n">
        <f aca="false">COUNTIFS($I$6:$I$728,I273,$K$6:$K$728,"&gt;"&amp;K273)+1</f>
        <v>18</v>
      </c>
      <c r="M273" s="10" t="n">
        <f aca="false">K273/SUMIFS($K$6:$K$728,$I$6:$I$728,I273)</f>
        <v>0.00546448087431694</v>
      </c>
    </row>
    <row r="274" customFormat="false" ht="15" hidden="false" customHeight="false" outlineLevel="0" collapsed="false">
      <c r="I274" s="8" t="s">
        <v>18</v>
      </c>
      <c r="J274" s="8" t="s">
        <v>359</v>
      </c>
      <c r="K274" s="9" t="n">
        <v>2</v>
      </c>
      <c r="L274" s="8" t="n">
        <f aca="false">COUNTIFS($I$6:$I$728,I274,$K$6:$K$728,"&gt;"&amp;K274)+1</f>
        <v>18</v>
      </c>
      <c r="M274" s="10" t="n">
        <f aca="false">K274/SUMIFS($K$6:$K$728,$I$6:$I$728,I274)</f>
        <v>0.00546448087431694</v>
      </c>
    </row>
    <row r="275" customFormat="false" ht="15" hidden="false" customHeight="false" outlineLevel="0" collapsed="false">
      <c r="I275" s="8" t="s">
        <v>18</v>
      </c>
      <c r="J275" s="8" t="s">
        <v>360</v>
      </c>
      <c r="K275" s="9" t="n">
        <v>2</v>
      </c>
      <c r="L275" s="8" t="n">
        <f aca="false">COUNTIFS($I$6:$I$728,I275,$K$6:$K$728,"&gt;"&amp;K275)+1</f>
        <v>18</v>
      </c>
      <c r="M275" s="10" t="n">
        <f aca="false">K275/SUMIFS($K$6:$K$728,$I$6:$I$728,I275)</f>
        <v>0.00546448087431694</v>
      </c>
    </row>
    <row r="276" customFormat="false" ht="15" hidden="false" customHeight="false" outlineLevel="0" collapsed="false">
      <c r="I276" s="8" t="s">
        <v>18</v>
      </c>
      <c r="J276" s="8" t="s">
        <v>361</v>
      </c>
      <c r="K276" s="9" t="n">
        <v>2</v>
      </c>
      <c r="L276" s="8" t="n">
        <f aca="false">COUNTIFS($I$6:$I$728,I276,$K$6:$K$728,"&gt;"&amp;K276)+1</f>
        <v>18</v>
      </c>
      <c r="M276" s="10" t="n">
        <f aca="false">K276/SUMIFS($K$6:$K$728,$I$6:$I$728,I276)</f>
        <v>0.00546448087431694</v>
      </c>
    </row>
    <row r="277" customFormat="false" ht="15" hidden="false" customHeight="false" outlineLevel="0" collapsed="false">
      <c r="I277" s="8" t="s">
        <v>18</v>
      </c>
      <c r="J277" s="8" t="s">
        <v>362</v>
      </c>
      <c r="K277" s="9" t="n">
        <v>2</v>
      </c>
      <c r="L277" s="8" t="n">
        <f aca="false">COUNTIFS($I$6:$I$728,I277,$K$6:$K$728,"&gt;"&amp;K277)+1</f>
        <v>18</v>
      </c>
      <c r="M277" s="10" t="n">
        <f aca="false">K277/SUMIFS($K$6:$K$728,$I$6:$I$728,I277)</f>
        <v>0.00546448087431694</v>
      </c>
    </row>
    <row r="278" customFormat="false" ht="15" hidden="false" customHeight="false" outlineLevel="0" collapsed="false">
      <c r="I278" s="8" t="s">
        <v>18</v>
      </c>
      <c r="J278" s="8" t="s">
        <v>363</v>
      </c>
      <c r="K278" s="9" t="n">
        <v>2</v>
      </c>
      <c r="L278" s="8" t="n">
        <f aca="false">COUNTIFS($I$6:$I$728,I278,$K$6:$K$728,"&gt;"&amp;K278)+1</f>
        <v>18</v>
      </c>
      <c r="M278" s="10" t="n">
        <f aca="false">K278/SUMIFS($K$6:$K$728,$I$6:$I$728,I278)</f>
        <v>0.00546448087431694</v>
      </c>
    </row>
    <row r="279" customFormat="false" ht="15" hidden="false" customHeight="false" outlineLevel="0" collapsed="false">
      <c r="I279" s="8" t="s">
        <v>18</v>
      </c>
      <c r="J279" s="8" t="s">
        <v>364</v>
      </c>
      <c r="K279" s="9" t="n">
        <v>2</v>
      </c>
      <c r="L279" s="8" t="n">
        <f aca="false">COUNTIFS($I$6:$I$728,I279,$K$6:$K$728,"&gt;"&amp;K279)+1</f>
        <v>18</v>
      </c>
      <c r="M279" s="10" t="n">
        <f aca="false">K279/SUMIFS($K$6:$K$728,$I$6:$I$728,I279)</f>
        <v>0.00546448087431694</v>
      </c>
    </row>
    <row r="280" customFormat="false" ht="15" hidden="false" customHeight="false" outlineLevel="0" collapsed="false">
      <c r="I280" s="8" t="s">
        <v>18</v>
      </c>
      <c r="J280" s="8" t="s">
        <v>365</v>
      </c>
      <c r="K280" s="9" t="n">
        <v>2</v>
      </c>
      <c r="L280" s="8" t="n">
        <f aca="false">COUNTIFS($I$6:$I$728,I280,$K$6:$K$728,"&gt;"&amp;K280)+1</f>
        <v>18</v>
      </c>
      <c r="M280" s="10" t="n">
        <f aca="false">K280/SUMIFS($K$6:$K$728,$I$6:$I$728,I280)</f>
        <v>0.00546448087431694</v>
      </c>
    </row>
    <row r="281" customFormat="false" ht="15" hidden="false" customHeight="false" outlineLevel="0" collapsed="false">
      <c r="I281" s="8" t="s">
        <v>18</v>
      </c>
      <c r="J281" s="8" t="s">
        <v>366</v>
      </c>
      <c r="K281" s="9" t="n">
        <v>2</v>
      </c>
      <c r="L281" s="8" t="n">
        <f aca="false">COUNTIFS($I$6:$I$728,I281,$K$6:$K$728,"&gt;"&amp;K281)+1</f>
        <v>18</v>
      </c>
      <c r="M281" s="10" t="n">
        <f aca="false">K281/SUMIFS($K$6:$K$728,$I$6:$I$728,I281)</f>
        <v>0.00546448087431694</v>
      </c>
    </row>
    <row r="282" customFormat="false" ht="15" hidden="false" customHeight="false" outlineLevel="0" collapsed="false">
      <c r="I282" s="8" t="s">
        <v>18</v>
      </c>
      <c r="J282" s="8" t="s">
        <v>367</v>
      </c>
      <c r="K282" s="9" t="n">
        <v>2</v>
      </c>
      <c r="L282" s="8" t="n">
        <f aca="false">COUNTIFS($I$6:$I$728,I282,$K$6:$K$728,"&gt;"&amp;K282)+1</f>
        <v>18</v>
      </c>
      <c r="M282" s="10" t="n">
        <f aca="false">K282/SUMIFS($K$6:$K$728,$I$6:$I$728,I282)</f>
        <v>0.00546448087431694</v>
      </c>
    </row>
    <row r="283" customFormat="false" ht="15" hidden="false" customHeight="false" outlineLevel="0" collapsed="false">
      <c r="I283" s="8" t="s">
        <v>18</v>
      </c>
      <c r="J283" s="8" t="s">
        <v>368</v>
      </c>
      <c r="K283" s="9" t="n">
        <v>2</v>
      </c>
      <c r="L283" s="8" t="n">
        <f aca="false">COUNTIFS($I$6:$I$728,I283,$K$6:$K$728,"&gt;"&amp;K283)+1</f>
        <v>18</v>
      </c>
      <c r="M283" s="10" t="n">
        <f aca="false">K283/SUMIFS($K$6:$K$728,$I$6:$I$728,I283)</f>
        <v>0.00546448087431694</v>
      </c>
    </row>
    <row r="284" customFormat="false" ht="15" hidden="false" customHeight="false" outlineLevel="0" collapsed="false">
      <c r="I284" s="8" t="s">
        <v>18</v>
      </c>
      <c r="J284" s="8" t="s">
        <v>369</v>
      </c>
      <c r="K284" s="9" t="n">
        <v>2</v>
      </c>
      <c r="L284" s="8" t="n">
        <f aca="false">COUNTIFS($I$6:$I$728,I284,$K$6:$K$728,"&gt;"&amp;K284)+1</f>
        <v>18</v>
      </c>
      <c r="M284" s="10" t="n">
        <f aca="false">K284/SUMIFS($K$6:$K$728,$I$6:$I$728,I284)</f>
        <v>0.00546448087431694</v>
      </c>
    </row>
    <row r="285" customFormat="false" ht="15" hidden="false" customHeight="false" outlineLevel="0" collapsed="false">
      <c r="I285" s="8" t="s">
        <v>18</v>
      </c>
      <c r="J285" s="8" t="s">
        <v>370</v>
      </c>
      <c r="K285" s="9" t="n">
        <v>2</v>
      </c>
      <c r="L285" s="8" t="n">
        <f aca="false">COUNTIFS($I$6:$I$728,I285,$K$6:$K$728,"&gt;"&amp;K285)+1</f>
        <v>18</v>
      </c>
      <c r="M285" s="10" t="n">
        <f aca="false">K285/SUMIFS($K$6:$K$728,$I$6:$I$728,I285)</f>
        <v>0.00546448087431694</v>
      </c>
    </row>
    <row r="286" customFormat="false" ht="15" hidden="false" customHeight="false" outlineLevel="0" collapsed="false">
      <c r="I286" s="8" t="s">
        <v>18</v>
      </c>
      <c r="J286" s="8" t="s">
        <v>194</v>
      </c>
      <c r="K286" s="9" t="n">
        <v>2</v>
      </c>
      <c r="L286" s="8" t="n">
        <f aca="false">COUNTIFS($I$6:$I$728,I286,$K$6:$K$728,"&gt;"&amp;K286)+1</f>
        <v>18</v>
      </c>
      <c r="M286" s="10" t="n">
        <f aca="false">K286/SUMIFS($K$6:$K$728,$I$6:$I$728,I286)</f>
        <v>0.00546448087431694</v>
      </c>
    </row>
    <row r="287" customFormat="false" ht="15" hidden="false" customHeight="false" outlineLevel="0" collapsed="false">
      <c r="I287" s="8" t="s">
        <v>18</v>
      </c>
      <c r="J287" s="8" t="s">
        <v>371</v>
      </c>
      <c r="K287" s="9" t="n">
        <v>2</v>
      </c>
      <c r="L287" s="8" t="n">
        <f aca="false">COUNTIFS($I$6:$I$728,I287,$K$6:$K$728,"&gt;"&amp;K287)+1</f>
        <v>18</v>
      </c>
      <c r="M287" s="10" t="n">
        <f aca="false">K287/SUMIFS($K$6:$K$728,$I$6:$I$728,I287)</f>
        <v>0.00546448087431694</v>
      </c>
    </row>
    <row r="288" customFormat="false" ht="15" hidden="false" customHeight="false" outlineLevel="0" collapsed="false">
      <c r="I288" s="8" t="s">
        <v>18</v>
      </c>
      <c r="J288" s="8" t="s">
        <v>372</v>
      </c>
      <c r="K288" s="9" t="n">
        <v>1</v>
      </c>
      <c r="L288" s="8" t="n">
        <f aca="false">COUNTIFS($I$6:$I$728,I288,$K$6:$K$728,"&gt;"&amp;K288)+1</f>
        <v>33</v>
      </c>
      <c r="M288" s="10" t="n">
        <f aca="false">K288/SUMIFS($K$6:$K$728,$I$6:$I$728,I288)</f>
        <v>0.00273224043715847</v>
      </c>
    </row>
    <row r="289" customFormat="false" ht="15" hidden="false" customHeight="false" outlineLevel="0" collapsed="false">
      <c r="I289" s="8" t="s">
        <v>18</v>
      </c>
      <c r="J289" s="8" t="s">
        <v>373</v>
      </c>
      <c r="K289" s="9" t="n">
        <v>1</v>
      </c>
      <c r="L289" s="8" t="n">
        <f aca="false">COUNTIFS($I$6:$I$728,I289,$K$6:$K$728,"&gt;"&amp;K289)+1</f>
        <v>33</v>
      </c>
      <c r="M289" s="10" t="n">
        <f aca="false">K289/SUMIFS($K$6:$K$728,$I$6:$I$728,I289)</f>
        <v>0.00273224043715847</v>
      </c>
    </row>
    <row r="290" customFormat="false" ht="15" hidden="false" customHeight="false" outlineLevel="0" collapsed="false">
      <c r="I290" s="8" t="s">
        <v>18</v>
      </c>
      <c r="J290" s="8" t="s">
        <v>374</v>
      </c>
      <c r="K290" s="9" t="n">
        <v>1</v>
      </c>
      <c r="L290" s="8" t="n">
        <f aca="false">COUNTIFS($I$6:$I$728,I290,$K$6:$K$728,"&gt;"&amp;K290)+1</f>
        <v>33</v>
      </c>
      <c r="M290" s="10" t="n">
        <f aca="false">K290/SUMIFS($K$6:$K$728,$I$6:$I$728,I290)</f>
        <v>0.00273224043715847</v>
      </c>
    </row>
    <row r="291" customFormat="false" ht="15" hidden="false" customHeight="false" outlineLevel="0" collapsed="false">
      <c r="I291" s="8" t="s">
        <v>18</v>
      </c>
      <c r="J291" s="8" t="s">
        <v>375</v>
      </c>
      <c r="K291" s="9" t="n">
        <v>1</v>
      </c>
      <c r="L291" s="8" t="n">
        <f aca="false">COUNTIFS($I$6:$I$728,I291,$K$6:$K$728,"&gt;"&amp;K291)+1</f>
        <v>33</v>
      </c>
      <c r="M291" s="10" t="n">
        <f aca="false">K291/SUMIFS($K$6:$K$728,$I$6:$I$728,I291)</f>
        <v>0.00273224043715847</v>
      </c>
    </row>
    <row r="292" customFormat="false" ht="15" hidden="false" customHeight="false" outlineLevel="0" collapsed="false">
      <c r="I292" s="8" t="s">
        <v>18</v>
      </c>
      <c r="J292" s="8" t="s">
        <v>376</v>
      </c>
      <c r="K292" s="9" t="n">
        <v>1</v>
      </c>
      <c r="L292" s="8" t="n">
        <f aca="false">COUNTIFS($I$6:$I$728,I292,$K$6:$K$728,"&gt;"&amp;K292)+1</f>
        <v>33</v>
      </c>
      <c r="M292" s="10" t="n">
        <f aca="false">K292/SUMIFS($K$6:$K$728,$I$6:$I$728,I292)</f>
        <v>0.00273224043715847</v>
      </c>
    </row>
    <row r="293" customFormat="false" ht="15" hidden="false" customHeight="false" outlineLevel="0" collapsed="false">
      <c r="I293" s="8" t="s">
        <v>18</v>
      </c>
      <c r="J293" s="8" t="s">
        <v>377</v>
      </c>
      <c r="K293" s="9" t="n">
        <v>1</v>
      </c>
      <c r="L293" s="8" t="n">
        <f aca="false">COUNTIFS($I$6:$I$728,I293,$K$6:$K$728,"&gt;"&amp;K293)+1</f>
        <v>33</v>
      </c>
      <c r="M293" s="10" t="n">
        <f aca="false">K293/SUMIFS($K$6:$K$728,$I$6:$I$728,I293)</f>
        <v>0.00273224043715847</v>
      </c>
    </row>
    <row r="294" customFormat="false" ht="15" hidden="false" customHeight="false" outlineLevel="0" collapsed="false">
      <c r="I294" s="8" t="s">
        <v>18</v>
      </c>
      <c r="J294" s="8" t="s">
        <v>378</v>
      </c>
      <c r="K294" s="9" t="n">
        <v>1</v>
      </c>
      <c r="L294" s="8" t="n">
        <f aca="false">COUNTIFS($I$6:$I$728,I294,$K$6:$K$728,"&gt;"&amp;K294)+1</f>
        <v>33</v>
      </c>
      <c r="M294" s="10" t="n">
        <f aca="false">K294/SUMIFS($K$6:$K$728,$I$6:$I$728,I294)</f>
        <v>0.00273224043715847</v>
      </c>
    </row>
    <row r="295" customFormat="false" ht="15" hidden="false" customHeight="false" outlineLevel="0" collapsed="false">
      <c r="I295" s="8" t="s">
        <v>18</v>
      </c>
      <c r="J295" s="8" t="s">
        <v>379</v>
      </c>
      <c r="K295" s="9" t="n">
        <v>1</v>
      </c>
      <c r="L295" s="8" t="n">
        <f aca="false">COUNTIFS($I$6:$I$728,I295,$K$6:$K$728,"&gt;"&amp;K295)+1</f>
        <v>33</v>
      </c>
      <c r="M295" s="10" t="n">
        <f aca="false">K295/SUMIFS($K$6:$K$728,$I$6:$I$728,I295)</f>
        <v>0.00273224043715847</v>
      </c>
    </row>
    <row r="296" customFormat="false" ht="15" hidden="false" customHeight="false" outlineLevel="0" collapsed="false">
      <c r="I296" s="8" t="s">
        <v>18</v>
      </c>
      <c r="J296" s="8" t="s">
        <v>380</v>
      </c>
      <c r="K296" s="9" t="n">
        <v>1</v>
      </c>
      <c r="L296" s="8" t="n">
        <f aca="false">COUNTIFS($I$6:$I$728,I296,$K$6:$K$728,"&gt;"&amp;K296)+1</f>
        <v>33</v>
      </c>
      <c r="M296" s="10" t="n">
        <f aca="false">K296/SUMIFS($K$6:$K$728,$I$6:$I$728,I296)</f>
        <v>0.00273224043715847</v>
      </c>
    </row>
    <row r="297" customFormat="false" ht="15" hidden="false" customHeight="false" outlineLevel="0" collapsed="false">
      <c r="I297" s="8" t="s">
        <v>18</v>
      </c>
      <c r="J297" s="8" t="s">
        <v>381</v>
      </c>
      <c r="K297" s="9" t="n">
        <v>1</v>
      </c>
      <c r="L297" s="8" t="n">
        <f aca="false">COUNTIFS($I$6:$I$728,I297,$K$6:$K$728,"&gt;"&amp;K297)+1</f>
        <v>33</v>
      </c>
      <c r="M297" s="10" t="n">
        <f aca="false">K297/SUMIFS($K$6:$K$728,$I$6:$I$728,I297)</f>
        <v>0.00273224043715847</v>
      </c>
    </row>
    <row r="298" customFormat="false" ht="15" hidden="false" customHeight="false" outlineLevel="0" collapsed="false">
      <c r="I298" s="8" t="s">
        <v>18</v>
      </c>
      <c r="J298" s="8" t="s">
        <v>382</v>
      </c>
      <c r="K298" s="9" t="n">
        <v>1</v>
      </c>
      <c r="L298" s="8" t="n">
        <f aca="false">COUNTIFS($I$6:$I$728,I298,$K$6:$K$728,"&gt;"&amp;K298)+1</f>
        <v>33</v>
      </c>
      <c r="M298" s="10" t="n">
        <f aca="false">K298/SUMIFS($K$6:$K$728,$I$6:$I$728,I298)</f>
        <v>0.00273224043715847</v>
      </c>
    </row>
    <row r="299" customFormat="false" ht="15" hidden="false" customHeight="false" outlineLevel="0" collapsed="false">
      <c r="I299" s="8" t="s">
        <v>18</v>
      </c>
      <c r="J299" s="8" t="s">
        <v>383</v>
      </c>
      <c r="K299" s="9" t="n">
        <v>1</v>
      </c>
      <c r="L299" s="8" t="n">
        <f aca="false">COUNTIFS($I$6:$I$728,I299,$K$6:$K$728,"&gt;"&amp;K299)+1</f>
        <v>33</v>
      </c>
      <c r="M299" s="10" t="n">
        <f aca="false">K299/SUMIFS($K$6:$K$728,$I$6:$I$728,I299)</f>
        <v>0.00273224043715847</v>
      </c>
    </row>
    <row r="300" customFormat="false" ht="15" hidden="false" customHeight="false" outlineLevel="0" collapsed="false">
      <c r="I300" s="8" t="s">
        <v>18</v>
      </c>
      <c r="J300" s="8" t="s">
        <v>384</v>
      </c>
      <c r="K300" s="9" t="n">
        <v>1</v>
      </c>
      <c r="L300" s="8" t="n">
        <f aca="false">COUNTIFS($I$6:$I$728,I300,$K$6:$K$728,"&gt;"&amp;K300)+1</f>
        <v>33</v>
      </c>
      <c r="M300" s="10" t="n">
        <f aca="false">K300/SUMIFS($K$6:$K$728,$I$6:$I$728,I300)</f>
        <v>0.00273224043715847</v>
      </c>
    </row>
    <row r="301" customFormat="false" ht="15" hidden="false" customHeight="false" outlineLevel="0" collapsed="false">
      <c r="I301" s="8" t="s">
        <v>18</v>
      </c>
      <c r="J301" s="8" t="s">
        <v>385</v>
      </c>
      <c r="K301" s="9" t="n">
        <v>1</v>
      </c>
      <c r="L301" s="8" t="n">
        <f aca="false">COUNTIFS($I$6:$I$728,I301,$K$6:$K$728,"&gt;"&amp;K301)+1</f>
        <v>33</v>
      </c>
      <c r="M301" s="10" t="n">
        <f aca="false">K301/SUMIFS($K$6:$K$728,$I$6:$I$728,I301)</f>
        <v>0.00273224043715847</v>
      </c>
    </row>
    <row r="302" customFormat="false" ht="15" hidden="false" customHeight="false" outlineLevel="0" collapsed="false">
      <c r="I302" s="8" t="s">
        <v>18</v>
      </c>
      <c r="J302" s="8" t="s">
        <v>386</v>
      </c>
      <c r="K302" s="9" t="n">
        <v>1</v>
      </c>
      <c r="L302" s="8" t="n">
        <f aca="false">COUNTIFS($I$6:$I$728,I302,$K$6:$K$728,"&gt;"&amp;K302)+1</f>
        <v>33</v>
      </c>
      <c r="M302" s="10" t="n">
        <f aca="false">K302/SUMIFS($K$6:$K$728,$I$6:$I$728,I302)</f>
        <v>0.00273224043715847</v>
      </c>
    </row>
    <row r="303" customFormat="false" ht="15" hidden="false" customHeight="false" outlineLevel="0" collapsed="false">
      <c r="I303" s="8" t="s">
        <v>18</v>
      </c>
      <c r="J303" s="8" t="s">
        <v>387</v>
      </c>
      <c r="K303" s="9" t="n">
        <v>1</v>
      </c>
      <c r="L303" s="8" t="n">
        <f aca="false">COUNTIFS($I$6:$I$728,I303,$K$6:$K$728,"&gt;"&amp;K303)+1</f>
        <v>33</v>
      </c>
      <c r="M303" s="10" t="n">
        <f aca="false">K303/SUMIFS($K$6:$K$728,$I$6:$I$728,I303)</f>
        <v>0.00273224043715847</v>
      </c>
    </row>
    <row r="304" customFormat="false" ht="15" hidden="false" customHeight="false" outlineLevel="0" collapsed="false">
      <c r="I304" s="8" t="s">
        <v>18</v>
      </c>
      <c r="J304" s="8" t="s">
        <v>388</v>
      </c>
      <c r="K304" s="9" t="n">
        <v>1</v>
      </c>
      <c r="L304" s="8" t="n">
        <f aca="false">COUNTIFS($I$6:$I$728,I304,$K$6:$K$728,"&gt;"&amp;K304)+1</f>
        <v>33</v>
      </c>
      <c r="M304" s="10" t="n">
        <f aca="false">K304/SUMIFS($K$6:$K$728,$I$6:$I$728,I304)</f>
        <v>0.00273224043715847</v>
      </c>
    </row>
    <row r="305" customFormat="false" ht="15" hidden="false" customHeight="false" outlineLevel="0" collapsed="false">
      <c r="I305" s="8" t="s">
        <v>18</v>
      </c>
      <c r="J305" s="8" t="s">
        <v>389</v>
      </c>
      <c r="K305" s="9" t="n">
        <v>1</v>
      </c>
      <c r="L305" s="8" t="n">
        <f aca="false">COUNTIFS($I$6:$I$728,I305,$K$6:$K$728,"&gt;"&amp;K305)+1</f>
        <v>33</v>
      </c>
      <c r="M305" s="10" t="n">
        <f aca="false">K305/SUMIFS($K$6:$K$728,$I$6:$I$728,I305)</f>
        <v>0.00273224043715847</v>
      </c>
    </row>
    <row r="306" customFormat="false" ht="15" hidden="false" customHeight="false" outlineLevel="0" collapsed="false">
      <c r="I306" s="8" t="s">
        <v>18</v>
      </c>
      <c r="J306" s="8" t="s">
        <v>390</v>
      </c>
      <c r="K306" s="9" t="n">
        <v>1</v>
      </c>
      <c r="L306" s="8" t="n">
        <f aca="false">COUNTIFS($I$6:$I$728,I306,$K$6:$K$728,"&gt;"&amp;K306)+1</f>
        <v>33</v>
      </c>
      <c r="M306" s="10" t="n">
        <f aca="false">K306/SUMIFS($K$6:$K$728,$I$6:$I$728,I306)</f>
        <v>0.00273224043715847</v>
      </c>
    </row>
    <row r="307" customFormat="false" ht="15" hidden="false" customHeight="false" outlineLevel="0" collapsed="false">
      <c r="I307" s="8" t="s">
        <v>18</v>
      </c>
      <c r="J307" s="8" t="s">
        <v>391</v>
      </c>
      <c r="K307" s="9" t="n">
        <v>1</v>
      </c>
      <c r="L307" s="8" t="n">
        <f aca="false">COUNTIFS($I$6:$I$728,I307,$K$6:$K$728,"&gt;"&amp;K307)+1</f>
        <v>33</v>
      </c>
      <c r="M307" s="10" t="n">
        <f aca="false">K307/SUMIFS($K$6:$K$728,$I$6:$I$728,I307)</f>
        <v>0.00273224043715847</v>
      </c>
    </row>
    <row r="308" customFormat="false" ht="15" hidden="false" customHeight="false" outlineLevel="0" collapsed="false">
      <c r="I308" s="8" t="s">
        <v>18</v>
      </c>
      <c r="J308" s="8" t="s">
        <v>392</v>
      </c>
      <c r="K308" s="9" t="n">
        <v>1</v>
      </c>
      <c r="L308" s="8" t="n">
        <f aca="false">COUNTIFS($I$6:$I$728,I308,$K$6:$K$728,"&gt;"&amp;K308)+1</f>
        <v>33</v>
      </c>
      <c r="M308" s="10" t="n">
        <f aca="false">K308/SUMIFS($K$6:$K$728,$I$6:$I$728,I308)</f>
        <v>0.00273224043715847</v>
      </c>
    </row>
    <row r="309" customFormat="false" ht="15" hidden="false" customHeight="false" outlineLevel="0" collapsed="false">
      <c r="I309" s="8" t="s">
        <v>18</v>
      </c>
      <c r="J309" s="8" t="s">
        <v>393</v>
      </c>
      <c r="K309" s="9" t="n">
        <v>1</v>
      </c>
      <c r="L309" s="8" t="n">
        <f aca="false">COUNTIFS($I$6:$I$728,I309,$K$6:$K$728,"&gt;"&amp;K309)+1</f>
        <v>33</v>
      </c>
      <c r="M309" s="10" t="n">
        <f aca="false">K309/SUMIFS($K$6:$K$728,$I$6:$I$728,I309)</f>
        <v>0.00273224043715847</v>
      </c>
    </row>
    <row r="310" customFormat="false" ht="15" hidden="false" customHeight="false" outlineLevel="0" collapsed="false">
      <c r="I310" s="8" t="s">
        <v>18</v>
      </c>
      <c r="J310" s="8" t="s">
        <v>394</v>
      </c>
      <c r="K310" s="9" t="n">
        <v>1</v>
      </c>
      <c r="L310" s="8" t="n">
        <f aca="false">COUNTIFS($I$6:$I$728,I310,$K$6:$K$728,"&gt;"&amp;K310)+1</f>
        <v>33</v>
      </c>
      <c r="M310" s="10" t="n">
        <f aca="false">K310/SUMIFS($K$6:$K$728,$I$6:$I$728,I310)</f>
        <v>0.00273224043715847</v>
      </c>
    </row>
    <row r="311" customFormat="false" ht="15" hidden="false" customHeight="false" outlineLevel="0" collapsed="false">
      <c r="I311" s="8" t="s">
        <v>18</v>
      </c>
      <c r="J311" s="8" t="s">
        <v>395</v>
      </c>
      <c r="K311" s="9" t="n">
        <v>1</v>
      </c>
      <c r="L311" s="8" t="n">
        <f aca="false">COUNTIFS($I$6:$I$728,I311,$K$6:$K$728,"&gt;"&amp;K311)+1</f>
        <v>33</v>
      </c>
      <c r="M311" s="10" t="n">
        <f aca="false">K311/SUMIFS($K$6:$K$728,$I$6:$I$728,I311)</f>
        <v>0.00273224043715847</v>
      </c>
    </row>
    <row r="312" customFormat="false" ht="15" hidden="false" customHeight="false" outlineLevel="0" collapsed="false">
      <c r="I312" s="8" t="s">
        <v>18</v>
      </c>
      <c r="J312" s="8" t="s">
        <v>396</v>
      </c>
      <c r="K312" s="9" t="n">
        <v>1</v>
      </c>
      <c r="L312" s="8" t="n">
        <f aca="false">COUNTIFS($I$6:$I$728,I312,$K$6:$K$728,"&gt;"&amp;K312)+1</f>
        <v>33</v>
      </c>
      <c r="M312" s="10" t="n">
        <f aca="false">K312/SUMIFS($K$6:$K$728,$I$6:$I$728,I312)</f>
        <v>0.00273224043715847</v>
      </c>
    </row>
    <row r="313" customFormat="false" ht="15" hidden="false" customHeight="false" outlineLevel="0" collapsed="false">
      <c r="I313" s="8" t="s">
        <v>18</v>
      </c>
      <c r="J313" s="8" t="s">
        <v>397</v>
      </c>
      <c r="K313" s="9" t="n">
        <v>1</v>
      </c>
      <c r="L313" s="8" t="n">
        <f aca="false">COUNTIFS($I$6:$I$728,I313,$K$6:$K$728,"&gt;"&amp;K313)+1</f>
        <v>33</v>
      </c>
      <c r="M313" s="10" t="n">
        <f aca="false">K313/SUMIFS($K$6:$K$728,$I$6:$I$728,I313)</f>
        <v>0.00273224043715847</v>
      </c>
    </row>
    <row r="314" customFormat="false" ht="15" hidden="false" customHeight="false" outlineLevel="0" collapsed="false">
      <c r="I314" s="8" t="s">
        <v>18</v>
      </c>
      <c r="J314" s="8" t="s">
        <v>398</v>
      </c>
      <c r="K314" s="9" t="n">
        <v>1</v>
      </c>
      <c r="L314" s="8" t="n">
        <f aca="false">COUNTIFS($I$6:$I$728,I314,$K$6:$K$728,"&gt;"&amp;K314)+1</f>
        <v>33</v>
      </c>
      <c r="M314" s="10" t="n">
        <f aca="false">K314/SUMIFS($K$6:$K$728,$I$6:$I$728,I314)</f>
        <v>0.00273224043715847</v>
      </c>
    </row>
    <row r="315" customFormat="false" ht="15" hidden="false" customHeight="false" outlineLevel="0" collapsed="false">
      <c r="I315" s="8" t="s">
        <v>18</v>
      </c>
      <c r="J315" s="8" t="s">
        <v>399</v>
      </c>
      <c r="K315" s="9" t="n">
        <v>1</v>
      </c>
      <c r="L315" s="8" t="n">
        <f aca="false">COUNTIFS($I$6:$I$728,I315,$K$6:$K$728,"&gt;"&amp;K315)+1</f>
        <v>33</v>
      </c>
      <c r="M315" s="10" t="n">
        <f aca="false">K315/SUMIFS($K$6:$K$728,$I$6:$I$728,I315)</f>
        <v>0.00273224043715847</v>
      </c>
    </row>
    <row r="316" customFormat="false" ht="15" hidden="false" customHeight="false" outlineLevel="0" collapsed="false">
      <c r="I316" s="8" t="s">
        <v>18</v>
      </c>
      <c r="J316" s="8" t="s">
        <v>400</v>
      </c>
      <c r="K316" s="9" t="n">
        <v>1</v>
      </c>
      <c r="L316" s="8" t="n">
        <f aca="false">COUNTIFS($I$6:$I$728,I316,$K$6:$K$728,"&gt;"&amp;K316)+1</f>
        <v>33</v>
      </c>
      <c r="M316" s="10" t="n">
        <f aca="false">K316/SUMIFS($K$6:$K$728,$I$6:$I$728,I316)</f>
        <v>0.00273224043715847</v>
      </c>
    </row>
    <row r="317" customFormat="false" ht="15" hidden="false" customHeight="false" outlineLevel="0" collapsed="false">
      <c r="I317" s="8" t="s">
        <v>18</v>
      </c>
      <c r="J317" s="8" t="s">
        <v>401</v>
      </c>
      <c r="K317" s="9" t="n">
        <v>1</v>
      </c>
      <c r="L317" s="8" t="n">
        <f aca="false">COUNTIFS($I$6:$I$728,I317,$K$6:$K$728,"&gt;"&amp;K317)+1</f>
        <v>33</v>
      </c>
      <c r="M317" s="10" t="n">
        <f aca="false">K317/SUMIFS($K$6:$K$728,$I$6:$I$728,I317)</f>
        <v>0.00273224043715847</v>
      </c>
    </row>
    <row r="318" customFormat="false" ht="15" hidden="false" customHeight="false" outlineLevel="0" collapsed="false">
      <c r="I318" s="8" t="s">
        <v>18</v>
      </c>
      <c r="J318" s="8" t="s">
        <v>402</v>
      </c>
      <c r="K318" s="9" t="n">
        <v>1</v>
      </c>
      <c r="L318" s="8" t="n">
        <f aca="false">COUNTIFS($I$6:$I$728,I318,$K$6:$K$728,"&gt;"&amp;K318)+1</f>
        <v>33</v>
      </c>
      <c r="M318" s="10" t="n">
        <f aca="false">K318/SUMIFS($K$6:$K$728,$I$6:$I$728,I318)</f>
        <v>0.00273224043715847</v>
      </c>
    </row>
    <row r="319" customFormat="false" ht="15" hidden="false" customHeight="false" outlineLevel="0" collapsed="false">
      <c r="I319" s="8" t="s">
        <v>18</v>
      </c>
      <c r="J319" s="8" t="s">
        <v>403</v>
      </c>
      <c r="K319" s="9" t="n">
        <v>1</v>
      </c>
      <c r="L319" s="8" t="n">
        <f aca="false">COUNTIFS($I$6:$I$728,I319,$K$6:$K$728,"&gt;"&amp;K319)+1</f>
        <v>33</v>
      </c>
      <c r="M319" s="10" t="n">
        <f aca="false">K319/SUMIFS($K$6:$K$728,$I$6:$I$728,I319)</f>
        <v>0.00273224043715847</v>
      </c>
    </row>
    <row r="320" customFormat="false" ht="15" hidden="false" customHeight="false" outlineLevel="0" collapsed="false">
      <c r="I320" s="8" t="s">
        <v>18</v>
      </c>
      <c r="J320" s="8" t="s">
        <v>404</v>
      </c>
      <c r="K320" s="9" t="n">
        <v>1</v>
      </c>
      <c r="L320" s="8" t="n">
        <f aca="false">COUNTIFS($I$6:$I$728,I320,$K$6:$K$728,"&gt;"&amp;K320)+1</f>
        <v>33</v>
      </c>
      <c r="M320" s="10" t="n">
        <f aca="false">K320/SUMIFS($K$6:$K$728,$I$6:$I$728,I320)</f>
        <v>0.00273224043715847</v>
      </c>
    </row>
    <row r="321" customFormat="false" ht="15" hidden="false" customHeight="false" outlineLevel="0" collapsed="false">
      <c r="I321" s="8" t="s">
        <v>18</v>
      </c>
      <c r="J321" s="8" t="s">
        <v>405</v>
      </c>
      <c r="K321" s="9" t="n">
        <v>1</v>
      </c>
      <c r="L321" s="8" t="n">
        <f aca="false">COUNTIFS($I$6:$I$728,I321,$K$6:$K$728,"&gt;"&amp;K321)+1</f>
        <v>33</v>
      </c>
      <c r="M321" s="10" t="n">
        <f aca="false">K321/SUMIFS($K$6:$K$728,$I$6:$I$728,I321)</f>
        <v>0.00273224043715847</v>
      </c>
    </row>
    <row r="322" customFormat="false" ht="15" hidden="false" customHeight="false" outlineLevel="0" collapsed="false">
      <c r="I322" s="8" t="s">
        <v>18</v>
      </c>
      <c r="J322" s="8" t="s">
        <v>406</v>
      </c>
      <c r="K322" s="9" t="n">
        <v>1</v>
      </c>
      <c r="L322" s="8" t="n">
        <f aca="false">COUNTIFS($I$6:$I$728,I322,$K$6:$K$728,"&gt;"&amp;K322)+1</f>
        <v>33</v>
      </c>
      <c r="M322" s="10" t="n">
        <f aca="false">K322/SUMIFS($K$6:$K$728,$I$6:$I$728,I322)</f>
        <v>0.00273224043715847</v>
      </c>
    </row>
    <row r="323" customFormat="false" ht="15" hidden="false" customHeight="false" outlineLevel="0" collapsed="false">
      <c r="I323" s="8" t="s">
        <v>18</v>
      </c>
      <c r="J323" s="8" t="s">
        <v>407</v>
      </c>
      <c r="K323" s="9" t="n">
        <v>1</v>
      </c>
      <c r="L323" s="8" t="n">
        <f aca="false">COUNTIFS($I$6:$I$728,I323,$K$6:$K$728,"&gt;"&amp;K323)+1</f>
        <v>33</v>
      </c>
      <c r="M323" s="10" t="n">
        <f aca="false">K323/SUMIFS($K$6:$K$728,$I$6:$I$728,I323)</f>
        <v>0.00273224043715847</v>
      </c>
    </row>
    <row r="324" customFormat="false" ht="15" hidden="false" customHeight="false" outlineLevel="0" collapsed="false">
      <c r="I324" s="8" t="s">
        <v>18</v>
      </c>
      <c r="J324" s="8" t="s">
        <v>408</v>
      </c>
      <c r="K324" s="9" t="n">
        <v>1</v>
      </c>
      <c r="L324" s="8" t="n">
        <f aca="false">COUNTIFS($I$6:$I$728,I324,$K$6:$K$728,"&gt;"&amp;K324)+1</f>
        <v>33</v>
      </c>
      <c r="M324" s="10" t="n">
        <f aca="false">K324/SUMIFS($K$6:$K$728,$I$6:$I$728,I324)</f>
        <v>0.00273224043715847</v>
      </c>
    </row>
    <row r="325" customFormat="false" ht="15" hidden="false" customHeight="false" outlineLevel="0" collapsed="false">
      <c r="I325" s="8" t="s">
        <v>18</v>
      </c>
      <c r="J325" s="8" t="s">
        <v>409</v>
      </c>
      <c r="K325" s="9" t="n">
        <v>1</v>
      </c>
      <c r="L325" s="8" t="n">
        <f aca="false">COUNTIFS($I$6:$I$728,I325,$K$6:$K$728,"&gt;"&amp;K325)+1</f>
        <v>33</v>
      </c>
      <c r="M325" s="10" t="n">
        <f aca="false">K325/SUMIFS($K$6:$K$728,$I$6:$I$728,I325)</f>
        <v>0.00273224043715847</v>
      </c>
    </row>
    <row r="326" customFormat="false" ht="15" hidden="false" customHeight="false" outlineLevel="0" collapsed="false">
      <c r="I326" s="8" t="s">
        <v>18</v>
      </c>
      <c r="J326" s="8" t="s">
        <v>410</v>
      </c>
      <c r="K326" s="9" t="n">
        <v>1</v>
      </c>
      <c r="L326" s="8" t="n">
        <f aca="false">COUNTIFS($I$6:$I$728,I326,$K$6:$K$728,"&gt;"&amp;K326)+1</f>
        <v>33</v>
      </c>
      <c r="M326" s="10" t="n">
        <f aca="false">K326/SUMIFS($K$6:$K$728,$I$6:$I$728,I326)</f>
        <v>0.00273224043715847</v>
      </c>
    </row>
    <row r="327" customFormat="false" ht="15" hidden="false" customHeight="false" outlineLevel="0" collapsed="false">
      <c r="I327" s="8" t="s">
        <v>18</v>
      </c>
      <c r="J327" s="8" t="s">
        <v>411</v>
      </c>
      <c r="K327" s="9" t="n">
        <v>1</v>
      </c>
      <c r="L327" s="8" t="n">
        <f aca="false">COUNTIFS($I$6:$I$728,I327,$K$6:$K$728,"&gt;"&amp;K327)+1</f>
        <v>33</v>
      </c>
      <c r="M327" s="10" t="n">
        <f aca="false">K327/SUMIFS($K$6:$K$728,$I$6:$I$728,I327)</f>
        <v>0.00273224043715847</v>
      </c>
    </row>
    <row r="328" customFormat="false" ht="15" hidden="false" customHeight="false" outlineLevel="0" collapsed="false">
      <c r="I328" s="8" t="s">
        <v>18</v>
      </c>
      <c r="J328" s="8" t="s">
        <v>412</v>
      </c>
      <c r="K328" s="9" t="n">
        <v>1</v>
      </c>
      <c r="L328" s="8" t="n">
        <f aca="false">COUNTIFS($I$6:$I$728,I328,$K$6:$K$728,"&gt;"&amp;K328)+1</f>
        <v>33</v>
      </c>
      <c r="M328" s="10" t="n">
        <f aca="false">K328/SUMIFS($K$6:$K$728,$I$6:$I$728,I328)</f>
        <v>0.00273224043715847</v>
      </c>
    </row>
    <row r="329" customFormat="false" ht="15" hidden="false" customHeight="false" outlineLevel="0" collapsed="false">
      <c r="I329" s="8" t="s">
        <v>18</v>
      </c>
      <c r="J329" s="8" t="s">
        <v>413</v>
      </c>
      <c r="K329" s="9" t="n">
        <v>1</v>
      </c>
      <c r="L329" s="8" t="n">
        <f aca="false">COUNTIFS($I$6:$I$728,I329,$K$6:$K$728,"&gt;"&amp;K329)+1</f>
        <v>33</v>
      </c>
      <c r="M329" s="10" t="n">
        <f aca="false">K329/SUMIFS($K$6:$K$728,$I$6:$I$728,I329)</f>
        <v>0.00273224043715847</v>
      </c>
    </row>
    <row r="330" customFormat="false" ht="15" hidden="false" customHeight="false" outlineLevel="0" collapsed="false">
      <c r="I330" s="8" t="s">
        <v>18</v>
      </c>
      <c r="J330" s="8" t="s">
        <v>414</v>
      </c>
      <c r="K330" s="9" t="n">
        <v>1</v>
      </c>
      <c r="L330" s="8" t="n">
        <f aca="false">COUNTIFS($I$6:$I$728,I330,$K$6:$K$728,"&gt;"&amp;K330)+1</f>
        <v>33</v>
      </c>
      <c r="M330" s="10" t="n">
        <f aca="false">K330/SUMIFS($K$6:$K$728,$I$6:$I$728,I330)</f>
        <v>0.00273224043715847</v>
      </c>
    </row>
    <row r="331" customFormat="false" ht="15" hidden="false" customHeight="false" outlineLevel="0" collapsed="false">
      <c r="I331" s="8" t="s">
        <v>18</v>
      </c>
      <c r="J331" s="8" t="s">
        <v>415</v>
      </c>
      <c r="K331" s="9" t="n">
        <v>1</v>
      </c>
      <c r="L331" s="8" t="n">
        <f aca="false">COUNTIFS($I$6:$I$728,I331,$K$6:$K$728,"&gt;"&amp;K331)+1</f>
        <v>33</v>
      </c>
      <c r="M331" s="10" t="n">
        <f aca="false">K331/SUMIFS($K$6:$K$728,$I$6:$I$728,I331)</f>
        <v>0.00273224043715847</v>
      </c>
    </row>
    <row r="332" customFormat="false" ht="15" hidden="false" customHeight="false" outlineLevel="0" collapsed="false">
      <c r="I332" s="8" t="s">
        <v>18</v>
      </c>
      <c r="J332" s="8" t="s">
        <v>416</v>
      </c>
      <c r="K332" s="9" t="n">
        <v>1</v>
      </c>
      <c r="L332" s="8" t="n">
        <f aca="false">COUNTIFS($I$6:$I$728,I332,$K$6:$K$728,"&gt;"&amp;K332)+1</f>
        <v>33</v>
      </c>
      <c r="M332" s="10" t="n">
        <f aca="false">K332/SUMIFS($K$6:$K$728,$I$6:$I$728,I332)</f>
        <v>0.00273224043715847</v>
      </c>
    </row>
    <row r="333" customFormat="false" ht="15" hidden="false" customHeight="false" outlineLevel="0" collapsed="false">
      <c r="I333" s="8" t="s">
        <v>18</v>
      </c>
      <c r="J333" s="8" t="s">
        <v>417</v>
      </c>
      <c r="K333" s="9" t="n">
        <v>1</v>
      </c>
      <c r="L333" s="8" t="n">
        <f aca="false">COUNTIFS($I$6:$I$728,I333,$K$6:$K$728,"&gt;"&amp;K333)+1</f>
        <v>33</v>
      </c>
      <c r="M333" s="10" t="n">
        <f aca="false">K333/SUMIFS($K$6:$K$728,$I$6:$I$728,I333)</f>
        <v>0.00273224043715847</v>
      </c>
    </row>
    <row r="334" customFormat="false" ht="15" hidden="false" customHeight="false" outlineLevel="0" collapsed="false">
      <c r="I334" s="8" t="s">
        <v>18</v>
      </c>
      <c r="J334" s="8" t="s">
        <v>418</v>
      </c>
      <c r="K334" s="9" t="n">
        <v>1</v>
      </c>
      <c r="L334" s="8" t="n">
        <f aca="false">COUNTIFS($I$6:$I$728,I334,$K$6:$K$728,"&gt;"&amp;K334)+1</f>
        <v>33</v>
      </c>
      <c r="M334" s="10" t="n">
        <f aca="false">K334/SUMIFS($K$6:$K$728,$I$6:$I$728,I334)</f>
        <v>0.00273224043715847</v>
      </c>
    </row>
    <row r="335" customFormat="false" ht="15" hidden="false" customHeight="false" outlineLevel="0" collapsed="false">
      <c r="I335" s="8" t="s">
        <v>18</v>
      </c>
      <c r="J335" s="8" t="s">
        <v>419</v>
      </c>
      <c r="K335" s="9" t="n">
        <v>1</v>
      </c>
      <c r="L335" s="8" t="n">
        <f aca="false">COUNTIFS($I$6:$I$728,I335,$K$6:$K$728,"&gt;"&amp;K335)+1</f>
        <v>33</v>
      </c>
      <c r="M335" s="10" t="n">
        <f aca="false">K335/SUMIFS($K$6:$K$728,$I$6:$I$728,I335)</f>
        <v>0.00273224043715847</v>
      </c>
    </row>
    <row r="336" customFormat="false" ht="15" hidden="false" customHeight="false" outlineLevel="0" collapsed="false">
      <c r="I336" s="8" t="s">
        <v>18</v>
      </c>
      <c r="J336" s="8" t="s">
        <v>420</v>
      </c>
      <c r="K336" s="9" t="n">
        <v>1</v>
      </c>
      <c r="L336" s="8" t="n">
        <f aca="false">COUNTIFS($I$6:$I$728,I336,$K$6:$K$728,"&gt;"&amp;K336)+1</f>
        <v>33</v>
      </c>
      <c r="M336" s="10" t="n">
        <f aca="false">K336/SUMIFS($K$6:$K$728,$I$6:$I$728,I336)</f>
        <v>0.00273224043715847</v>
      </c>
    </row>
    <row r="337" customFormat="false" ht="15" hidden="false" customHeight="false" outlineLevel="0" collapsed="false">
      <c r="I337" s="8" t="s">
        <v>18</v>
      </c>
      <c r="J337" s="8" t="s">
        <v>421</v>
      </c>
      <c r="K337" s="9" t="n">
        <v>1</v>
      </c>
      <c r="L337" s="8" t="n">
        <f aca="false">COUNTIFS($I$6:$I$728,I337,$K$6:$K$728,"&gt;"&amp;K337)+1</f>
        <v>33</v>
      </c>
      <c r="M337" s="10" t="n">
        <f aca="false">K337/SUMIFS($K$6:$K$728,$I$6:$I$728,I337)</f>
        <v>0.00273224043715847</v>
      </c>
    </row>
    <row r="338" customFormat="false" ht="15" hidden="false" customHeight="false" outlineLevel="0" collapsed="false">
      <c r="I338" s="8" t="s">
        <v>18</v>
      </c>
      <c r="J338" s="8" t="s">
        <v>422</v>
      </c>
      <c r="K338" s="9" t="n">
        <v>1</v>
      </c>
      <c r="L338" s="8" t="n">
        <f aca="false">COUNTIFS($I$6:$I$728,I338,$K$6:$K$728,"&gt;"&amp;K338)+1</f>
        <v>33</v>
      </c>
      <c r="M338" s="10" t="n">
        <f aca="false">K338/SUMIFS($K$6:$K$728,$I$6:$I$728,I338)</f>
        <v>0.00273224043715847</v>
      </c>
    </row>
    <row r="339" customFormat="false" ht="15" hidden="false" customHeight="false" outlineLevel="0" collapsed="false">
      <c r="I339" s="8" t="s">
        <v>20</v>
      </c>
      <c r="J339" s="8" t="s">
        <v>101</v>
      </c>
      <c r="K339" s="9" t="n">
        <v>69</v>
      </c>
      <c r="L339" s="8" t="n">
        <f aca="false">COUNTIFS($I$6:$I$728,I339,$K$6:$K$728,"&gt;"&amp;K339)+1</f>
        <v>1</v>
      </c>
      <c r="M339" s="10" t="n">
        <f aca="false">K339/SUMIFS($K$6:$K$728,$I$6:$I$728,I339)</f>
        <v>0.216300940438871</v>
      </c>
    </row>
    <row r="340" customFormat="false" ht="15" hidden="false" customHeight="false" outlineLevel="0" collapsed="false">
      <c r="I340" s="8" t="s">
        <v>20</v>
      </c>
      <c r="J340" s="8" t="s">
        <v>103</v>
      </c>
      <c r="K340" s="9" t="n">
        <v>21</v>
      </c>
      <c r="L340" s="8" t="n">
        <f aca="false">COUNTIFS($I$6:$I$728,I340,$K$6:$K$728,"&gt;"&amp;K340)+1</f>
        <v>2</v>
      </c>
      <c r="M340" s="10" t="n">
        <f aca="false">K340/SUMIFS($K$6:$K$728,$I$6:$I$728,I340)</f>
        <v>0.0658307210031348</v>
      </c>
    </row>
    <row r="341" customFormat="false" ht="15" hidden="false" customHeight="false" outlineLevel="0" collapsed="false">
      <c r="I341" s="8" t="s">
        <v>20</v>
      </c>
      <c r="J341" s="8" t="s">
        <v>105</v>
      </c>
      <c r="K341" s="9" t="n">
        <v>19</v>
      </c>
      <c r="L341" s="8" t="n">
        <f aca="false">COUNTIFS($I$6:$I$728,I341,$K$6:$K$728,"&gt;"&amp;K341)+1</f>
        <v>3</v>
      </c>
      <c r="M341" s="10" t="n">
        <f aca="false">K341/SUMIFS($K$6:$K$728,$I$6:$I$728,I341)</f>
        <v>0.0595611285266458</v>
      </c>
    </row>
    <row r="342" customFormat="false" ht="15" hidden="false" customHeight="false" outlineLevel="0" collapsed="false">
      <c r="I342" s="8" t="s">
        <v>20</v>
      </c>
      <c r="J342" s="8" t="s">
        <v>107</v>
      </c>
      <c r="K342" s="9" t="n">
        <v>8</v>
      </c>
      <c r="L342" s="8" t="n">
        <f aca="false">COUNTIFS($I$6:$I$728,I342,$K$6:$K$728,"&gt;"&amp;K342)+1</f>
        <v>4</v>
      </c>
      <c r="M342" s="10" t="n">
        <f aca="false">K342/SUMIFS($K$6:$K$728,$I$6:$I$728,I342)</f>
        <v>0.0250783699059561</v>
      </c>
    </row>
    <row r="343" customFormat="false" ht="15" hidden="false" customHeight="false" outlineLevel="0" collapsed="false">
      <c r="I343" s="8" t="s">
        <v>20</v>
      </c>
      <c r="J343" s="8" t="s">
        <v>109</v>
      </c>
      <c r="K343" s="9" t="n">
        <v>7</v>
      </c>
      <c r="L343" s="8" t="n">
        <f aca="false">COUNTIFS($I$6:$I$728,I343,$K$6:$K$728,"&gt;"&amp;K343)+1</f>
        <v>5</v>
      </c>
      <c r="M343" s="10" t="n">
        <f aca="false">K343/SUMIFS($K$6:$K$728,$I$6:$I$728,I343)</f>
        <v>0.0219435736677116</v>
      </c>
    </row>
    <row r="344" customFormat="false" ht="15" hidden="false" customHeight="false" outlineLevel="0" collapsed="false">
      <c r="I344" s="8" t="s">
        <v>20</v>
      </c>
      <c r="J344" s="8" t="s">
        <v>111</v>
      </c>
      <c r="K344" s="9" t="n">
        <v>6</v>
      </c>
      <c r="L344" s="8" t="n">
        <f aca="false">COUNTIFS($I$6:$I$728,I344,$K$6:$K$728,"&gt;"&amp;K344)+1</f>
        <v>6</v>
      </c>
      <c r="M344" s="10" t="n">
        <f aca="false">K344/SUMIFS($K$6:$K$728,$I$6:$I$728,I344)</f>
        <v>0.0188087774294671</v>
      </c>
    </row>
    <row r="345" customFormat="false" ht="15" hidden="false" customHeight="false" outlineLevel="0" collapsed="false">
      <c r="I345" s="8" t="s">
        <v>20</v>
      </c>
      <c r="J345" s="8" t="s">
        <v>113</v>
      </c>
      <c r="K345" s="9" t="n">
        <v>6</v>
      </c>
      <c r="L345" s="8" t="n">
        <f aca="false">COUNTIFS($I$6:$I$728,I345,$K$6:$K$728,"&gt;"&amp;K345)+1</f>
        <v>6</v>
      </c>
      <c r="M345" s="10" t="n">
        <f aca="false">K345/SUMIFS($K$6:$K$728,$I$6:$I$728,I345)</f>
        <v>0.0188087774294671</v>
      </c>
    </row>
    <row r="346" customFormat="false" ht="15" hidden="false" customHeight="false" outlineLevel="0" collapsed="false">
      <c r="I346" s="8" t="s">
        <v>20</v>
      </c>
      <c r="J346" s="8" t="s">
        <v>115</v>
      </c>
      <c r="K346" s="9" t="n">
        <v>6</v>
      </c>
      <c r="L346" s="8" t="n">
        <f aca="false">COUNTIFS($I$6:$I$728,I346,$K$6:$K$728,"&gt;"&amp;K346)+1</f>
        <v>6</v>
      </c>
      <c r="M346" s="10" t="n">
        <f aca="false">K346/SUMIFS($K$6:$K$728,$I$6:$I$728,I346)</f>
        <v>0.0188087774294671</v>
      </c>
    </row>
    <row r="347" customFormat="false" ht="15" hidden="false" customHeight="false" outlineLevel="0" collapsed="false">
      <c r="I347" s="8" t="s">
        <v>20</v>
      </c>
      <c r="J347" s="8" t="s">
        <v>117</v>
      </c>
      <c r="K347" s="9" t="n">
        <v>6</v>
      </c>
      <c r="L347" s="8" t="n">
        <f aca="false">COUNTIFS($I$6:$I$728,I347,$K$6:$K$728,"&gt;"&amp;K347)+1</f>
        <v>6</v>
      </c>
      <c r="M347" s="10" t="n">
        <f aca="false">K347/SUMIFS($K$6:$K$728,$I$6:$I$728,I347)</f>
        <v>0.0188087774294671</v>
      </c>
    </row>
    <row r="348" customFormat="false" ht="15" hidden="false" customHeight="false" outlineLevel="0" collapsed="false">
      <c r="I348" s="8" t="s">
        <v>20</v>
      </c>
      <c r="J348" s="8" t="s">
        <v>119</v>
      </c>
      <c r="K348" s="9" t="n">
        <v>6</v>
      </c>
      <c r="L348" s="8" t="n">
        <f aca="false">COUNTIFS($I$6:$I$728,I348,$K$6:$K$728,"&gt;"&amp;K348)+1</f>
        <v>6</v>
      </c>
      <c r="M348" s="10" t="n">
        <f aca="false">K348/SUMIFS($K$6:$K$728,$I$6:$I$728,I348)</f>
        <v>0.0188087774294671</v>
      </c>
    </row>
    <row r="349" customFormat="false" ht="15" hidden="false" customHeight="false" outlineLevel="0" collapsed="false">
      <c r="I349" s="8" t="s">
        <v>20</v>
      </c>
      <c r="J349" s="8" t="s">
        <v>423</v>
      </c>
      <c r="K349" s="9" t="n">
        <v>5</v>
      </c>
      <c r="L349" s="8" t="n">
        <f aca="false">COUNTIFS($I$6:$I$728,I349,$K$6:$K$728,"&gt;"&amp;K349)+1</f>
        <v>11</v>
      </c>
      <c r="M349" s="10" t="n">
        <f aca="false">K349/SUMIFS($K$6:$K$728,$I$6:$I$728,I349)</f>
        <v>0.0156739811912226</v>
      </c>
    </row>
    <row r="350" customFormat="false" ht="15" hidden="false" customHeight="false" outlineLevel="0" collapsed="false">
      <c r="I350" s="8" t="s">
        <v>20</v>
      </c>
      <c r="J350" s="8" t="s">
        <v>424</v>
      </c>
      <c r="K350" s="9" t="n">
        <v>5</v>
      </c>
      <c r="L350" s="8" t="n">
        <f aca="false">COUNTIFS($I$6:$I$728,I350,$K$6:$K$728,"&gt;"&amp;K350)+1</f>
        <v>11</v>
      </c>
      <c r="M350" s="10" t="n">
        <f aca="false">K350/SUMIFS($K$6:$K$728,$I$6:$I$728,I350)</f>
        <v>0.0156739811912226</v>
      </c>
    </row>
    <row r="351" customFormat="false" ht="15" hidden="false" customHeight="false" outlineLevel="0" collapsed="false">
      <c r="I351" s="8" t="s">
        <v>20</v>
      </c>
      <c r="J351" s="8" t="s">
        <v>425</v>
      </c>
      <c r="K351" s="9" t="n">
        <v>4</v>
      </c>
      <c r="L351" s="8" t="n">
        <f aca="false">COUNTIFS($I$6:$I$728,I351,$K$6:$K$728,"&gt;"&amp;K351)+1</f>
        <v>13</v>
      </c>
      <c r="M351" s="10" t="n">
        <f aca="false">K351/SUMIFS($K$6:$K$728,$I$6:$I$728,I351)</f>
        <v>0.0125391849529781</v>
      </c>
    </row>
    <row r="352" customFormat="false" ht="15" hidden="false" customHeight="false" outlineLevel="0" collapsed="false">
      <c r="I352" s="8" t="s">
        <v>20</v>
      </c>
      <c r="J352" s="8" t="s">
        <v>426</v>
      </c>
      <c r="K352" s="9" t="n">
        <v>4</v>
      </c>
      <c r="L352" s="8" t="n">
        <f aca="false">COUNTIFS($I$6:$I$728,I352,$K$6:$K$728,"&gt;"&amp;K352)+1</f>
        <v>13</v>
      </c>
      <c r="M352" s="10" t="n">
        <f aca="false">K352/SUMIFS($K$6:$K$728,$I$6:$I$728,I352)</f>
        <v>0.0125391849529781</v>
      </c>
    </row>
    <row r="353" customFormat="false" ht="15" hidden="false" customHeight="false" outlineLevel="0" collapsed="false">
      <c r="I353" s="8" t="s">
        <v>20</v>
      </c>
      <c r="J353" s="8" t="s">
        <v>427</v>
      </c>
      <c r="K353" s="9" t="n">
        <v>4</v>
      </c>
      <c r="L353" s="8" t="n">
        <f aca="false">COUNTIFS($I$6:$I$728,I353,$K$6:$K$728,"&gt;"&amp;K353)+1</f>
        <v>13</v>
      </c>
      <c r="M353" s="10" t="n">
        <f aca="false">K353/SUMIFS($K$6:$K$728,$I$6:$I$728,I353)</f>
        <v>0.0125391849529781</v>
      </c>
    </row>
    <row r="354" customFormat="false" ht="15" hidden="false" customHeight="false" outlineLevel="0" collapsed="false">
      <c r="I354" s="8" t="s">
        <v>20</v>
      </c>
      <c r="J354" s="8" t="s">
        <v>242</v>
      </c>
      <c r="K354" s="9" t="n">
        <v>4</v>
      </c>
      <c r="L354" s="8" t="n">
        <f aca="false">COUNTIFS($I$6:$I$728,I354,$K$6:$K$728,"&gt;"&amp;K354)+1</f>
        <v>13</v>
      </c>
      <c r="M354" s="10" t="n">
        <f aca="false">K354/SUMIFS($K$6:$K$728,$I$6:$I$728,I354)</f>
        <v>0.0125391849529781</v>
      </c>
    </row>
    <row r="355" customFormat="false" ht="15" hidden="false" customHeight="false" outlineLevel="0" collapsed="false">
      <c r="I355" s="8" t="s">
        <v>20</v>
      </c>
      <c r="J355" s="8" t="s">
        <v>428</v>
      </c>
      <c r="K355" s="9" t="n">
        <v>4</v>
      </c>
      <c r="L355" s="8" t="n">
        <f aca="false">COUNTIFS($I$6:$I$728,I355,$K$6:$K$728,"&gt;"&amp;K355)+1</f>
        <v>13</v>
      </c>
      <c r="M355" s="10" t="n">
        <f aca="false">K355/SUMIFS($K$6:$K$728,$I$6:$I$728,I355)</f>
        <v>0.0125391849529781</v>
      </c>
    </row>
    <row r="356" customFormat="false" ht="15" hidden="false" customHeight="false" outlineLevel="0" collapsed="false">
      <c r="I356" s="8" t="s">
        <v>20</v>
      </c>
      <c r="J356" s="8" t="s">
        <v>429</v>
      </c>
      <c r="K356" s="9" t="n">
        <v>3</v>
      </c>
      <c r="L356" s="8" t="n">
        <f aca="false">COUNTIFS($I$6:$I$728,I356,$K$6:$K$728,"&gt;"&amp;K356)+1</f>
        <v>18</v>
      </c>
      <c r="M356" s="10" t="n">
        <f aca="false">K356/SUMIFS($K$6:$K$728,$I$6:$I$728,I356)</f>
        <v>0.00940438871473354</v>
      </c>
    </row>
    <row r="357" customFormat="false" ht="15" hidden="false" customHeight="false" outlineLevel="0" collapsed="false">
      <c r="I357" s="8" t="s">
        <v>20</v>
      </c>
      <c r="J357" s="8" t="s">
        <v>430</v>
      </c>
      <c r="K357" s="9" t="n">
        <v>3</v>
      </c>
      <c r="L357" s="8" t="n">
        <f aca="false">COUNTIFS($I$6:$I$728,I357,$K$6:$K$728,"&gt;"&amp;K357)+1</f>
        <v>18</v>
      </c>
      <c r="M357" s="10" t="n">
        <f aca="false">K357/SUMIFS($K$6:$K$728,$I$6:$I$728,I357)</f>
        <v>0.00940438871473354</v>
      </c>
    </row>
    <row r="358" customFormat="false" ht="15" hidden="false" customHeight="false" outlineLevel="0" collapsed="false">
      <c r="I358" s="8" t="s">
        <v>20</v>
      </c>
      <c r="J358" s="8" t="s">
        <v>431</v>
      </c>
      <c r="K358" s="9" t="n">
        <v>3</v>
      </c>
      <c r="L358" s="8" t="n">
        <f aca="false">COUNTIFS($I$6:$I$728,I358,$K$6:$K$728,"&gt;"&amp;K358)+1</f>
        <v>18</v>
      </c>
      <c r="M358" s="10" t="n">
        <f aca="false">K358/SUMIFS($K$6:$K$728,$I$6:$I$728,I358)</f>
        <v>0.00940438871473354</v>
      </c>
    </row>
    <row r="359" customFormat="false" ht="15" hidden="false" customHeight="false" outlineLevel="0" collapsed="false">
      <c r="I359" s="8" t="s">
        <v>20</v>
      </c>
      <c r="J359" s="8" t="s">
        <v>432</v>
      </c>
      <c r="K359" s="9" t="n">
        <v>3</v>
      </c>
      <c r="L359" s="8" t="n">
        <f aca="false">COUNTIFS($I$6:$I$728,I359,$K$6:$K$728,"&gt;"&amp;K359)+1</f>
        <v>18</v>
      </c>
      <c r="M359" s="10" t="n">
        <f aca="false">K359/SUMIFS($K$6:$K$728,$I$6:$I$728,I359)</f>
        <v>0.00940438871473354</v>
      </c>
    </row>
    <row r="360" customFormat="false" ht="15" hidden="false" customHeight="false" outlineLevel="0" collapsed="false">
      <c r="I360" s="8" t="s">
        <v>20</v>
      </c>
      <c r="J360" s="8" t="s">
        <v>433</v>
      </c>
      <c r="K360" s="9" t="n">
        <v>3</v>
      </c>
      <c r="L360" s="8" t="n">
        <f aca="false">COUNTIFS($I$6:$I$728,I360,$K$6:$K$728,"&gt;"&amp;K360)+1</f>
        <v>18</v>
      </c>
      <c r="M360" s="10" t="n">
        <f aca="false">K360/SUMIFS($K$6:$K$728,$I$6:$I$728,I360)</f>
        <v>0.00940438871473354</v>
      </c>
    </row>
    <row r="361" customFormat="false" ht="15" hidden="false" customHeight="false" outlineLevel="0" collapsed="false">
      <c r="I361" s="8" t="s">
        <v>20</v>
      </c>
      <c r="J361" s="8" t="s">
        <v>434</v>
      </c>
      <c r="K361" s="9" t="n">
        <v>3</v>
      </c>
      <c r="L361" s="8" t="n">
        <f aca="false">COUNTIFS($I$6:$I$728,I361,$K$6:$K$728,"&gt;"&amp;K361)+1</f>
        <v>18</v>
      </c>
      <c r="M361" s="10" t="n">
        <f aca="false">K361/SUMIFS($K$6:$K$728,$I$6:$I$728,I361)</f>
        <v>0.00940438871473354</v>
      </c>
    </row>
    <row r="362" customFormat="false" ht="15" hidden="false" customHeight="false" outlineLevel="0" collapsed="false">
      <c r="I362" s="8" t="s">
        <v>20</v>
      </c>
      <c r="J362" s="8" t="s">
        <v>435</v>
      </c>
      <c r="K362" s="9" t="n">
        <v>3</v>
      </c>
      <c r="L362" s="8" t="n">
        <f aca="false">COUNTIFS($I$6:$I$728,I362,$K$6:$K$728,"&gt;"&amp;K362)+1</f>
        <v>18</v>
      </c>
      <c r="M362" s="10" t="n">
        <f aca="false">K362/SUMIFS($K$6:$K$728,$I$6:$I$728,I362)</f>
        <v>0.00940438871473354</v>
      </c>
    </row>
    <row r="363" customFormat="false" ht="15" hidden="false" customHeight="false" outlineLevel="0" collapsed="false">
      <c r="I363" s="8" t="s">
        <v>20</v>
      </c>
      <c r="J363" s="8" t="s">
        <v>436</v>
      </c>
      <c r="K363" s="9" t="n">
        <v>3</v>
      </c>
      <c r="L363" s="8" t="n">
        <f aca="false">COUNTIFS($I$6:$I$728,I363,$K$6:$K$728,"&gt;"&amp;K363)+1</f>
        <v>18</v>
      </c>
      <c r="M363" s="10" t="n">
        <f aca="false">K363/SUMIFS($K$6:$K$728,$I$6:$I$728,I363)</f>
        <v>0.00940438871473354</v>
      </c>
    </row>
    <row r="364" customFormat="false" ht="15" hidden="false" customHeight="false" outlineLevel="0" collapsed="false">
      <c r="I364" s="8" t="s">
        <v>20</v>
      </c>
      <c r="J364" s="8" t="s">
        <v>437</v>
      </c>
      <c r="K364" s="9" t="n">
        <v>2</v>
      </c>
      <c r="L364" s="8" t="n">
        <f aca="false">COUNTIFS($I$6:$I$728,I364,$K$6:$K$728,"&gt;"&amp;K364)+1</f>
        <v>26</v>
      </c>
      <c r="M364" s="10" t="n">
        <f aca="false">K364/SUMIFS($K$6:$K$728,$I$6:$I$728,I364)</f>
        <v>0.00626959247648903</v>
      </c>
    </row>
    <row r="365" customFormat="false" ht="15" hidden="false" customHeight="false" outlineLevel="0" collapsed="false">
      <c r="I365" s="8" t="s">
        <v>20</v>
      </c>
      <c r="J365" s="8" t="s">
        <v>438</v>
      </c>
      <c r="K365" s="9" t="n">
        <v>2</v>
      </c>
      <c r="L365" s="8" t="n">
        <f aca="false">COUNTIFS($I$6:$I$728,I365,$K$6:$K$728,"&gt;"&amp;K365)+1</f>
        <v>26</v>
      </c>
      <c r="M365" s="10" t="n">
        <f aca="false">K365/SUMIFS($K$6:$K$728,$I$6:$I$728,I365)</f>
        <v>0.00626959247648903</v>
      </c>
    </row>
    <row r="366" customFormat="false" ht="15" hidden="false" customHeight="false" outlineLevel="0" collapsed="false">
      <c r="I366" s="8" t="s">
        <v>20</v>
      </c>
      <c r="J366" s="8" t="s">
        <v>439</v>
      </c>
      <c r="K366" s="9" t="n">
        <v>2</v>
      </c>
      <c r="L366" s="8" t="n">
        <f aca="false">COUNTIFS($I$6:$I$728,I366,$K$6:$K$728,"&gt;"&amp;K366)+1</f>
        <v>26</v>
      </c>
      <c r="M366" s="10" t="n">
        <f aca="false">K366/SUMIFS($K$6:$K$728,$I$6:$I$728,I366)</f>
        <v>0.00626959247648903</v>
      </c>
    </row>
    <row r="367" customFormat="false" ht="15" hidden="false" customHeight="false" outlineLevel="0" collapsed="false">
      <c r="I367" s="8" t="s">
        <v>20</v>
      </c>
      <c r="J367" s="8" t="s">
        <v>440</v>
      </c>
      <c r="K367" s="9" t="n">
        <v>2</v>
      </c>
      <c r="L367" s="8" t="n">
        <f aca="false">COUNTIFS($I$6:$I$728,I367,$K$6:$K$728,"&gt;"&amp;K367)+1</f>
        <v>26</v>
      </c>
      <c r="M367" s="10" t="n">
        <f aca="false">K367/SUMIFS($K$6:$K$728,$I$6:$I$728,I367)</f>
        <v>0.00626959247648903</v>
      </c>
    </row>
    <row r="368" customFormat="false" ht="15" hidden="false" customHeight="false" outlineLevel="0" collapsed="false">
      <c r="I368" s="8" t="s">
        <v>20</v>
      </c>
      <c r="J368" s="8" t="s">
        <v>441</v>
      </c>
      <c r="K368" s="9" t="n">
        <v>2</v>
      </c>
      <c r="L368" s="8" t="n">
        <f aca="false">COUNTIFS($I$6:$I$728,I368,$K$6:$K$728,"&gt;"&amp;K368)+1</f>
        <v>26</v>
      </c>
      <c r="M368" s="10" t="n">
        <f aca="false">K368/SUMIFS($K$6:$K$728,$I$6:$I$728,I368)</f>
        <v>0.00626959247648903</v>
      </c>
    </row>
    <row r="369" customFormat="false" ht="15" hidden="false" customHeight="false" outlineLevel="0" collapsed="false">
      <c r="I369" s="8" t="s">
        <v>20</v>
      </c>
      <c r="J369" s="8" t="s">
        <v>442</v>
      </c>
      <c r="K369" s="9" t="n">
        <v>2</v>
      </c>
      <c r="L369" s="8" t="n">
        <f aca="false">COUNTIFS($I$6:$I$728,I369,$K$6:$K$728,"&gt;"&amp;K369)+1</f>
        <v>26</v>
      </c>
      <c r="M369" s="10" t="n">
        <f aca="false">K369/SUMIFS($K$6:$K$728,$I$6:$I$728,I369)</f>
        <v>0.00626959247648903</v>
      </c>
    </row>
    <row r="370" customFormat="false" ht="15" hidden="false" customHeight="false" outlineLevel="0" collapsed="false">
      <c r="I370" s="8" t="s">
        <v>20</v>
      </c>
      <c r="J370" s="8" t="s">
        <v>443</v>
      </c>
      <c r="K370" s="9" t="n">
        <v>2</v>
      </c>
      <c r="L370" s="8" t="n">
        <f aca="false">COUNTIFS($I$6:$I$728,I370,$K$6:$K$728,"&gt;"&amp;K370)+1</f>
        <v>26</v>
      </c>
      <c r="M370" s="10" t="n">
        <f aca="false">K370/SUMIFS($K$6:$K$728,$I$6:$I$728,I370)</f>
        <v>0.00626959247648903</v>
      </c>
    </row>
    <row r="371" customFormat="false" ht="15" hidden="false" customHeight="false" outlineLevel="0" collapsed="false">
      <c r="I371" s="8" t="s">
        <v>20</v>
      </c>
      <c r="J371" s="8" t="s">
        <v>444</v>
      </c>
      <c r="K371" s="9" t="n">
        <v>2</v>
      </c>
      <c r="L371" s="8" t="n">
        <f aca="false">COUNTIFS($I$6:$I$728,I371,$K$6:$K$728,"&gt;"&amp;K371)+1</f>
        <v>26</v>
      </c>
      <c r="M371" s="10" t="n">
        <f aca="false">K371/SUMIFS($K$6:$K$728,$I$6:$I$728,I371)</f>
        <v>0.00626959247648903</v>
      </c>
    </row>
    <row r="372" customFormat="false" ht="15" hidden="false" customHeight="false" outlineLevel="0" collapsed="false">
      <c r="I372" s="8" t="s">
        <v>20</v>
      </c>
      <c r="J372" s="8" t="s">
        <v>445</v>
      </c>
      <c r="K372" s="9" t="n">
        <v>2</v>
      </c>
      <c r="L372" s="8" t="n">
        <f aca="false">COUNTIFS($I$6:$I$728,I372,$K$6:$K$728,"&gt;"&amp;K372)+1</f>
        <v>26</v>
      </c>
      <c r="M372" s="10" t="n">
        <f aca="false">K372/SUMIFS($K$6:$K$728,$I$6:$I$728,I372)</f>
        <v>0.00626959247648903</v>
      </c>
    </row>
    <row r="373" customFormat="false" ht="15" hidden="false" customHeight="false" outlineLevel="0" collapsed="false">
      <c r="I373" s="8" t="s">
        <v>20</v>
      </c>
      <c r="J373" s="8" t="s">
        <v>446</v>
      </c>
      <c r="K373" s="9" t="n">
        <v>2</v>
      </c>
      <c r="L373" s="8" t="n">
        <f aca="false">COUNTIFS($I$6:$I$728,I373,$K$6:$K$728,"&gt;"&amp;K373)+1</f>
        <v>26</v>
      </c>
      <c r="M373" s="10" t="n">
        <f aca="false">K373/SUMIFS($K$6:$K$728,$I$6:$I$728,I373)</f>
        <v>0.00626959247648903</v>
      </c>
    </row>
    <row r="374" customFormat="false" ht="15" hidden="false" customHeight="false" outlineLevel="0" collapsed="false">
      <c r="I374" s="8" t="s">
        <v>20</v>
      </c>
      <c r="J374" s="8" t="s">
        <v>447</v>
      </c>
      <c r="K374" s="9" t="n">
        <v>2</v>
      </c>
      <c r="L374" s="8" t="n">
        <f aca="false">COUNTIFS($I$6:$I$728,I374,$K$6:$K$728,"&gt;"&amp;K374)+1</f>
        <v>26</v>
      </c>
      <c r="M374" s="10" t="n">
        <f aca="false">K374/SUMIFS($K$6:$K$728,$I$6:$I$728,I374)</f>
        <v>0.00626959247648903</v>
      </c>
    </row>
    <row r="375" customFormat="false" ht="15" hidden="false" customHeight="false" outlineLevel="0" collapsed="false">
      <c r="I375" s="8" t="s">
        <v>20</v>
      </c>
      <c r="J375" s="8" t="s">
        <v>448</v>
      </c>
      <c r="K375" s="9" t="n">
        <v>2</v>
      </c>
      <c r="L375" s="8" t="n">
        <f aca="false">COUNTIFS($I$6:$I$728,I375,$K$6:$K$728,"&gt;"&amp;K375)+1</f>
        <v>26</v>
      </c>
      <c r="M375" s="10" t="n">
        <f aca="false">K375/SUMIFS($K$6:$K$728,$I$6:$I$728,I375)</f>
        <v>0.00626959247648903</v>
      </c>
    </row>
    <row r="376" customFormat="false" ht="15" hidden="false" customHeight="false" outlineLevel="0" collapsed="false">
      <c r="I376" s="8" t="s">
        <v>20</v>
      </c>
      <c r="J376" s="8" t="s">
        <v>449</v>
      </c>
      <c r="K376" s="9" t="n">
        <v>2</v>
      </c>
      <c r="L376" s="8" t="n">
        <f aca="false">COUNTIFS($I$6:$I$728,I376,$K$6:$K$728,"&gt;"&amp;K376)+1</f>
        <v>26</v>
      </c>
      <c r="M376" s="10" t="n">
        <f aca="false">K376/SUMIFS($K$6:$K$728,$I$6:$I$728,I376)</f>
        <v>0.00626959247648903</v>
      </c>
    </row>
    <row r="377" customFormat="false" ht="15" hidden="false" customHeight="false" outlineLevel="0" collapsed="false">
      <c r="I377" s="8" t="s">
        <v>20</v>
      </c>
      <c r="J377" s="8" t="s">
        <v>450</v>
      </c>
      <c r="K377" s="9" t="n">
        <v>2</v>
      </c>
      <c r="L377" s="8" t="n">
        <f aca="false">COUNTIFS($I$6:$I$728,I377,$K$6:$K$728,"&gt;"&amp;K377)+1</f>
        <v>26</v>
      </c>
      <c r="M377" s="10" t="n">
        <f aca="false">K377/SUMIFS($K$6:$K$728,$I$6:$I$728,I377)</f>
        <v>0.00626959247648903</v>
      </c>
    </row>
    <row r="378" customFormat="false" ht="15" hidden="false" customHeight="false" outlineLevel="0" collapsed="false">
      <c r="I378" s="8" t="s">
        <v>20</v>
      </c>
      <c r="J378" s="8" t="s">
        <v>451</v>
      </c>
      <c r="K378" s="9" t="n">
        <v>2</v>
      </c>
      <c r="L378" s="8" t="n">
        <f aca="false">COUNTIFS($I$6:$I$728,I378,$K$6:$K$728,"&gt;"&amp;K378)+1</f>
        <v>26</v>
      </c>
      <c r="M378" s="10" t="n">
        <f aca="false">K378/SUMIFS($K$6:$K$728,$I$6:$I$728,I378)</f>
        <v>0.00626959247648903</v>
      </c>
    </row>
    <row r="379" customFormat="false" ht="15" hidden="false" customHeight="false" outlineLevel="0" collapsed="false">
      <c r="I379" s="8" t="s">
        <v>20</v>
      </c>
      <c r="J379" s="8" t="s">
        <v>452</v>
      </c>
      <c r="K379" s="9" t="n">
        <v>2</v>
      </c>
      <c r="L379" s="8" t="n">
        <f aca="false">COUNTIFS($I$6:$I$728,I379,$K$6:$K$728,"&gt;"&amp;K379)+1</f>
        <v>26</v>
      </c>
      <c r="M379" s="10" t="n">
        <f aca="false">K379/SUMIFS($K$6:$K$728,$I$6:$I$728,I379)</f>
        <v>0.00626959247648903</v>
      </c>
    </row>
    <row r="380" customFormat="false" ht="15" hidden="false" customHeight="false" outlineLevel="0" collapsed="false">
      <c r="I380" s="8" t="s">
        <v>20</v>
      </c>
      <c r="J380" s="8" t="s">
        <v>453</v>
      </c>
      <c r="K380" s="9" t="n">
        <v>2</v>
      </c>
      <c r="L380" s="8" t="n">
        <f aca="false">COUNTIFS($I$6:$I$728,I380,$K$6:$K$728,"&gt;"&amp;K380)+1</f>
        <v>26</v>
      </c>
      <c r="M380" s="10" t="n">
        <f aca="false">K380/SUMIFS($K$6:$K$728,$I$6:$I$728,I380)</f>
        <v>0.00626959247648903</v>
      </c>
    </row>
    <row r="381" customFormat="false" ht="15" hidden="false" customHeight="false" outlineLevel="0" collapsed="false">
      <c r="I381" s="8" t="s">
        <v>20</v>
      </c>
      <c r="J381" s="8" t="s">
        <v>454</v>
      </c>
      <c r="K381" s="9" t="n">
        <v>2</v>
      </c>
      <c r="L381" s="8" t="n">
        <f aca="false">COUNTIFS($I$6:$I$728,I381,$K$6:$K$728,"&gt;"&amp;K381)+1</f>
        <v>26</v>
      </c>
      <c r="M381" s="10" t="n">
        <f aca="false">K381/SUMIFS($K$6:$K$728,$I$6:$I$728,I381)</f>
        <v>0.00626959247648903</v>
      </c>
    </row>
    <row r="382" customFormat="false" ht="15" hidden="false" customHeight="false" outlineLevel="0" collapsed="false">
      <c r="I382" s="8" t="s">
        <v>20</v>
      </c>
      <c r="J382" s="8" t="s">
        <v>455</v>
      </c>
      <c r="K382" s="9" t="n">
        <v>2</v>
      </c>
      <c r="L382" s="8" t="n">
        <f aca="false">COUNTIFS($I$6:$I$728,I382,$K$6:$K$728,"&gt;"&amp;K382)+1</f>
        <v>26</v>
      </c>
      <c r="M382" s="10" t="n">
        <f aca="false">K382/SUMIFS($K$6:$K$728,$I$6:$I$728,I382)</f>
        <v>0.00626959247648903</v>
      </c>
    </row>
    <row r="383" customFormat="false" ht="15" hidden="false" customHeight="false" outlineLevel="0" collapsed="false">
      <c r="I383" s="8" t="s">
        <v>20</v>
      </c>
      <c r="J383" s="8" t="s">
        <v>456</v>
      </c>
      <c r="K383" s="9" t="n">
        <v>2</v>
      </c>
      <c r="L383" s="8" t="n">
        <f aca="false">COUNTIFS($I$6:$I$728,I383,$K$6:$K$728,"&gt;"&amp;K383)+1</f>
        <v>26</v>
      </c>
      <c r="M383" s="10" t="n">
        <f aca="false">K383/SUMIFS($K$6:$K$728,$I$6:$I$728,I383)</f>
        <v>0.00626959247648903</v>
      </c>
    </row>
    <row r="384" customFormat="false" ht="15" hidden="false" customHeight="false" outlineLevel="0" collapsed="false">
      <c r="I384" s="8" t="s">
        <v>20</v>
      </c>
      <c r="J384" s="8" t="s">
        <v>457</v>
      </c>
      <c r="K384" s="9" t="n">
        <v>2</v>
      </c>
      <c r="L384" s="8" t="n">
        <f aca="false">COUNTIFS($I$6:$I$728,I384,$K$6:$K$728,"&gt;"&amp;K384)+1</f>
        <v>26</v>
      </c>
      <c r="M384" s="10" t="n">
        <f aca="false">K384/SUMIFS($K$6:$K$728,$I$6:$I$728,I384)</f>
        <v>0.00626959247648903</v>
      </c>
    </row>
    <row r="385" customFormat="false" ht="15" hidden="false" customHeight="false" outlineLevel="0" collapsed="false">
      <c r="I385" s="8" t="s">
        <v>20</v>
      </c>
      <c r="J385" s="8" t="s">
        <v>458</v>
      </c>
      <c r="K385" s="9" t="n">
        <v>2</v>
      </c>
      <c r="L385" s="8" t="n">
        <f aca="false">COUNTIFS($I$6:$I$728,I385,$K$6:$K$728,"&gt;"&amp;K385)+1</f>
        <v>26</v>
      </c>
      <c r="M385" s="10" t="n">
        <f aca="false">K385/SUMIFS($K$6:$K$728,$I$6:$I$728,I385)</f>
        <v>0.00626959247648903</v>
      </c>
    </row>
    <row r="386" customFormat="false" ht="15" hidden="false" customHeight="false" outlineLevel="0" collapsed="false">
      <c r="I386" s="8" t="s">
        <v>20</v>
      </c>
      <c r="J386" s="8" t="s">
        <v>459</v>
      </c>
      <c r="K386" s="9" t="n">
        <v>2</v>
      </c>
      <c r="L386" s="8" t="n">
        <f aca="false">COUNTIFS($I$6:$I$728,I386,$K$6:$K$728,"&gt;"&amp;K386)+1</f>
        <v>26</v>
      </c>
      <c r="M386" s="10" t="n">
        <f aca="false">K386/SUMIFS($K$6:$K$728,$I$6:$I$728,I386)</f>
        <v>0.00626959247648903</v>
      </c>
    </row>
    <row r="387" customFormat="false" ht="15" hidden="false" customHeight="false" outlineLevel="0" collapsed="false">
      <c r="I387" s="8" t="s">
        <v>20</v>
      </c>
      <c r="J387" s="8" t="s">
        <v>460</v>
      </c>
      <c r="K387" s="9" t="n">
        <v>1</v>
      </c>
      <c r="L387" s="8" t="n">
        <f aca="false">COUNTIFS($I$6:$I$728,I387,$K$6:$K$728,"&gt;"&amp;K387)+1</f>
        <v>49</v>
      </c>
      <c r="M387" s="10" t="n">
        <f aca="false">K387/SUMIFS($K$6:$K$728,$I$6:$I$728,I387)</f>
        <v>0.00313479623824451</v>
      </c>
    </row>
    <row r="388" customFormat="false" ht="15" hidden="false" customHeight="false" outlineLevel="0" collapsed="false">
      <c r="I388" s="8" t="s">
        <v>20</v>
      </c>
      <c r="J388" s="8" t="s">
        <v>461</v>
      </c>
      <c r="K388" s="9" t="n">
        <v>1</v>
      </c>
      <c r="L388" s="8" t="n">
        <f aca="false">COUNTIFS($I$6:$I$728,I388,$K$6:$K$728,"&gt;"&amp;K388)+1</f>
        <v>49</v>
      </c>
      <c r="M388" s="10" t="n">
        <f aca="false">K388/SUMIFS($K$6:$K$728,$I$6:$I$728,I388)</f>
        <v>0.00313479623824451</v>
      </c>
    </row>
    <row r="389" customFormat="false" ht="15" hidden="false" customHeight="false" outlineLevel="0" collapsed="false">
      <c r="I389" s="8" t="s">
        <v>20</v>
      </c>
      <c r="J389" s="8" t="s">
        <v>462</v>
      </c>
      <c r="K389" s="9" t="n">
        <v>1</v>
      </c>
      <c r="L389" s="8" t="n">
        <f aca="false">COUNTIFS($I$6:$I$728,I389,$K$6:$K$728,"&gt;"&amp;K389)+1</f>
        <v>49</v>
      </c>
      <c r="M389" s="10" t="n">
        <f aca="false">K389/SUMIFS($K$6:$K$728,$I$6:$I$728,I389)</f>
        <v>0.00313479623824451</v>
      </c>
    </row>
    <row r="390" customFormat="false" ht="15" hidden="false" customHeight="false" outlineLevel="0" collapsed="false">
      <c r="I390" s="8" t="s">
        <v>20</v>
      </c>
      <c r="J390" s="8" t="s">
        <v>463</v>
      </c>
      <c r="K390" s="9" t="n">
        <v>1</v>
      </c>
      <c r="L390" s="8" t="n">
        <f aca="false">COUNTIFS($I$6:$I$728,I390,$K$6:$K$728,"&gt;"&amp;K390)+1</f>
        <v>49</v>
      </c>
      <c r="M390" s="10" t="n">
        <f aca="false">K390/SUMIFS($K$6:$K$728,$I$6:$I$728,I390)</f>
        <v>0.00313479623824451</v>
      </c>
    </row>
    <row r="391" customFormat="false" ht="15" hidden="false" customHeight="false" outlineLevel="0" collapsed="false">
      <c r="I391" s="8" t="s">
        <v>20</v>
      </c>
      <c r="J391" s="8" t="s">
        <v>464</v>
      </c>
      <c r="K391" s="9" t="n">
        <v>1</v>
      </c>
      <c r="L391" s="8" t="n">
        <f aca="false">COUNTIFS($I$6:$I$728,I391,$K$6:$K$728,"&gt;"&amp;K391)+1</f>
        <v>49</v>
      </c>
      <c r="M391" s="10" t="n">
        <f aca="false">K391/SUMIFS($K$6:$K$728,$I$6:$I$728,I391)</f>
        <v>0.00313479623824451</v>
      </c>
    </row>
    <row r="392" customFormat="false" ht="15" hidden="false" customHeight="false" outlineLevel="0" collapsed="false">
      <c r="I392" s="8" t="s">
        <v>20</v>
      </c>
      <c r="J392" s="8" t="s">
        <v>465</v>
      </c>
      <c r="K392" s="9" t="n">
        <v>1</v>
      </c>
      <c r="L392" s="8" t="n">
        <f aca="false">COUNTIFS($I$6:$I$728,I392,$K$6:$K$728,"&gt;"&amp;K392)+1</f>
        <v>49</v>
      </c>
      <c r="M392" s="10" t="n">
        <f aca="false">K392/SUMIFS($K$6:$K$728,$I$6:$I$728,I392)</f>
        <v>0.00313479623824451</v>
      </c>
    </row>
    <row r="393" customFormat="false" ht="15" hidden="false" customHeight="false" outlineLevel="0" collapsed="false">
      <c r="I393" s="8" t="s">
        <v>20</v>
      </c>
      <c r="J393" s="8" t="s">
        <v>466</v>
      </c>
      <c r="K393" s="9" t="n">
        <v>1</v>
      </c>
      <c r="L393" s="8" t="n">
        <f aca="false">COUNTIFS($I$6:$I$728,I393,$K$6:$K$728,"&gt;"&amp;K393)+1</f>
        <v>49</v>
      </c>
      <c r="M393" s="10" t="n">
        <f aca="false">K393/SUMIFS($K$6:$K$728,$I$6:$I$728,I393)</f>
        <v>0.00313479623824451</v>
      </c>
    </row>
    <row r="394" customFormat="false" ht="15" hidden="false" customHeight="false" outlineLevel="0" collapsed="false">
      <c r="I394" s="8" t="s">
        <v>20</v>
      </c>
      <c r="J394" s="8" t="s">
        <v>467</v>
      </c>
      <c r="K394" s="9" t="n">
        <v>1</v>
      </c>
      <c r="L394" s="8" t="n">
        <f aca="false">COUNTIFS($I$6:$I$728,I394,$K$6:$K$728,"&gt;"&amp;K394)+1</f>
        <v>49</v>
      </c>
      <c r="M394" s="10" t="n">
        <f aca="false">K394/SUMIFS($K$6:$K$728,$I$6:$I$728,I394)</f>
        <v>0.00313479623824451</v>
      </c>
    </row>
    <row r="395" customFormat="false" ht="15" hidden="false" customHeight="false" outlineLevel="0" collapsed="false">
      <c r="I395" s="8" t="s">
        <v>20</v>
      </c>
      <c r="J395" s="8" t="s">
        <v>468</v>
      </c>
      <c r="K395" s="9" t="n">
        <v>1</v>
      </c>
      <c r="L395" s="8" t="n">
        <f aca="false">COUNTIFS($I$6:$I$728,I395,$K$6:$K$728,"&gt;"&amp;K395)+1</f>
        <v>49</v>
      </c>
      <c r="M395" s="10" t="n">
        <f aca="false">K395/SUMIFS($K$6:$K$728,$I$6:$I$728,I395)</f>
        <v>0.00313479623824451</v>
      </c>
    </row>
    <row r="396" customFormat="false" ht="15" hidden="false" customHeight="false" outlineLevel="0" collapsed="false">
      <c r="I396" s="8" t="s">
        <v>20</v>
      </c>
      <c r="J396" s="8" t="s">
        <v>469</v>
      </c>
      <c r="K396" s="9" t="n">
        <v>1</v>
      </c>
      <c r="L396" s="8" t="n">
        <f aca="false">COUNTIFS($I$6:$I$728,I396,$K$6:$K$728,"&gt;"&amp;K396)+1</f>
        <v>49</v>
      </c>
      <c r="M396" s="10" t="n">
        <f aca="false">K396/SUMIFS($K$6:$K$728,$I$6:$I$728,I396)</f>
        <v>0.00313479623824451</v>
      </c>
    </row>
    <row r="397" customFormat="false" ht="15" hidden="false" customHeight="false" outlineLevel="0" collapsed="false">
      <c r="I397" s="8" t="s">
        <v>20</v>
      </c>
      <c r="J397" s="8" t="s">
        <v>470</v>
      </c>
      <c r="K397" s="9" t="n">
        <v>1</v>
      </c>
      <c r="L397" s="8" t="n">
        <f aca="false">COUNTIFS($I$6:$I$728,I397,$K$6:$K$728,"&gt;"&amp;K397)+1</f>
        <v>49</v>
      </c>
      <c r="M397" s="10" t="n">
        <f aca="false">K397/SUMIFS($K$6:$K$728,$I$6:$I$728,I397)</f>
        <v>0.00313479623824451</v>
      </c>
    </row>
    <row r="398" customFormat="false" ht="15" hidden="false" customHeight="false" outlineLevel="0" collapsed="false">
      <c r="I398" s="8" t="s">
        <v>20</v>
      </c>
      <c r="J398" s="8" t="s">
        <v>471</v>
      </c>
      <c r="K398" s="9" t="n">
        <v>1</v>
      </c>
      <c r="L398" s="8" t="n">
        <f aca="false">COUNTIFS($I$6:$I$728,I398,$K$6:$K$728,"&gt;"&amp;K398)+1</f>
        <v>49</v>
      </c>
      <c r="M398" s="10" t="n">
        <f aca="false">K398/SUMIFS($K$6:$K$728,$I$6:$I$728,I398)</f>
        <v>0.00313479623824451</v>
      </c>
    </row>
    <row r="399" customFormat="false" ht="15" hidden="false" customHeight="false" outlineLevel="0" collapsed="false">
      <c r="I399" s="8" t="s">
        <v>20</v>
      </c>
      <c r="J399" s="8" t="s">
        <v>472</v>
      </c>
      <c r="K399" s="9" t="n">
        <v>1</v>
      </c>
      <c r="L399" s="8" t="n">
        <f aca="false">COUNTIFS($I$6:$I$728,I399,$K$6:$K$728,"&gt;"&amp;K399)+1</f>
        <v>49</v>
      </c>
      <c r="M399" s="10" t="n">
        <f aca="false">K399/SUMIFS($K$6:$K$728,$I$6:$I$728,I399)</f>
        <v>0.00313479623824451</v>
      </c>
    </row>
    <row r="400" customFormat="false" ht="15" hidden="false" customHeight="false" outlineLevel="0" collapsed="false">
      <c r="I400" s="8" t="s">
        <v>20</v>
      </c>
      <c r="J400" s="8" t="s">
        <v>473</v>
      </c>
      <c r="K400" s="9" t="n">
        <v>1</v>
      </c>
      <c r="L400" s="8" t="n">
        <f aca="false">COUNTIFS($I$6:$I$728,I400,$K$6:$K$728,"&gt;"&amp;K400)+1</f>
        <v>49</v>
      </c>
      <c r="M400" s="10" t="n">
        <f aca="false">K400/SUMIFS($K$6:$K$728,$I$6:$I$728,I400)</f>
        <v>0.00313479623824451</v>
      </c>
    </row>
    <row r="401" customFormat="false" ht="15" hidden="false" customHeight="false" outlineLevel="0" collapsed="false">
      <c r="I401" s="8" t="s">
        <v>20</v>
      </c>
      <c r="J401" s="8" t="s">
        <v>474</v>
      </c>
      <c r="K401" s="9" t="n">
        <v>1</v>
      </c>
      <c r="L401" s="8" t="n">
        <f aca="false">COUNTIFS($I$6:$I$728,I401,$K$6:$K$728,"&gt;"&amp;K401)+1</f>
        <v>49</v>
      </c>
      <c r="M401" s="10" t="n">
        <f aca="false">K401/SUMIFS($K$6:$K$728,$I$6:$I$728,I401)</f>
        <v>0.00313479623824451</v>
      </c>
    </row>
    <row r="402" customFormat="false" ht="15" hidden="false" customHeight="false" outlineLevel="0" collapsed="false">
      <c r="I402" s="8" t="s">
        <v>20</v>
      </c>
      <c r="J402" s="8" t="s">
        <v>475</v>
      </c>
      <c r="K402" s="9" t="n">
        <v>1</v>
      </c>
      <c r="L402" s="8" t="n">
        <f aca="false">COUNTIFS($I$6:$I$728,I402,$K$6:$K$728,"&gt;"&amp;K402)+1</f>
        <v>49</v>
      </c>
      <c r="M402" s="10" t="n">
        <f aca="false">K402/SUMIFS($K$6:$K$728,$I$6:$I$728,I402)</f>
        <v>0.00313479623824451</v>
      </c>
    </row>
    <row r="403" customFormat="false" ht="15" hidden="false" customHeight="false" outlineLevel="0" collapsed="false">
      <c r="I403" s="8" t="s">
        <v>20</v>
      </c>
      <c r="J403" s="8" t="s">
        <v>476</v>
      </c>
      <c r="K403" s="9" t="n">
        <v>1</v>
      </c>
      <c r="L403" s="8" t="n">
        <f aca="false">COUNTIFS($I$6:$I$728,I403,$K$6:$K$728,"&gt;"&amp;K403)+1</f>
        <v>49</v>
      </c>
      <c r="M403" s="10" t="n">
        <f aca="false">K403/SUMIFS($K$6:$K$728,$I$6:$I$728,I403)</f>
        <v>0.00313479623824451</v>
      </c>
    </row>
    <row r="404" customFormat="false" ht="15" hidden="false" customHeight="false" outlineLevel="0" collapsed="false">
      <c r="I404" s="8" t="s">
        <v>20</v>
      </c>
      <c r="J404" s="8" t="s">
        <v>477</v>
      </c>
      <c r="K404" s="9" t="n">
        <v>1</v>
      </c>
      <c r="L404" s="8" t="n">
        <f aca="false">COUNTIFS($I$6:$I$728,I404,$K$6:$K$728,"&gt;"&amp;K404)+1</f>
        <v>49</v>
      </c>
      <c r="M404" s="10" t="n">
        <f aca="false">K404/SUMIFS($K$6:$K$728,$I$6:$I$728,I404)</f>
        <v>0.00313479623824451</v>
      </c>
    </row>
    <row r="405" customFormat="false" ht="15" hidden="false" customHeight="false" outlineLevel="0" collapsed="false">
      <c r="I405" s="8" t="s">
        <v>20</v>
      </c>
      <c r="J405" s="8" t="s">
        <v>478</v>
      </c>
      <c r="K405" s="9" t="n">
        <v>1</v>
      </c>
      <c r="L405" s="8" t="n">
        <f aca="false">COUNTIFS($I$6:$I$728,I405,$K$6:$K$728,"&gt;"&amp;K405)+1</f>
        <v>49</v>
      </c>
      <c r="M405" s="10" t="n">
        <f aca="false">K405/SUMIFS($K$6:$K$728,$I$6:$I$728,I405)</f>
        <v>0.00313479623824451</v>
      </c>
    </row>
    <row r="406" customFormat="false" ht="15" hidden="false" customHeight="false" outlineLevel="0" collapsed="false">
      <c r="I406" s="8" t="s">
        <v>20</v>
      </c>
      <c r="J406" s="8" t="s">
        <v>479</v>
      </c>
      <c r="K406" s="9" t="n">
        <v>1</v>
      </c>
      <c r="L406" s="8" t="n">
        <f aca="false">COUNTIFS($I$6:$I$728,I406,$K$6:$K$728,"&gt;"&amp;K406)+1</f>
        <v>49</v>
      </c>
      <c r="M406" s="10" t="n">
        <f aca="false">K406/SUMIFS($K$6:$K$728,$I$6:$I$728,I406)</f>
        <v>0.00313479623824451</v>
      </c>
    </row>
    <row r="407" customFormat="false" ht="15" hidden="false" customHeight="false" outlineLevel="0" collapsed="false">
      <c r="I407" s="8" t="s">
        <v>20</v>
      </c>
      <c r="J407" s="8" t="s">
        <v>480</v>
      </c>
      <c r="K407" s="9" t="n">
        <v>1</v>
      </c>
      <c r="L407" s="8" t="n">
        <f aca="false">COUNTIFS($I$6:$I$728,I407,$K$6:$K$728,"&gt;"&amp;K407)+1</f>
        <v>49</v>
      </c>
      <c r="M407" s="10" t="n">
        <f aca="false">K407/SUMIFS($K$6:$K$728,$I$6:$I$728,I407)</f>
        <v>0.00313479623824451</v>
      </c>
    </row>
    <row r="408" customFormat="false" ht="15" hidden="false" customHeight="false" outlineLevel="0" collapsed="false">
      <c r="I408" s="8" t="s">
        <v>20</v>
      </c>
      <c r="J408" s="8" t="s">
        <v>481</v>
      </c>
      <c r="K408" s="9" t="n">
        <v>1</v>
      </c>
      <c r="L408" s="8" t="n">
        <f aca="false">COUNTIFS($I$6:$I$728,I408,$K$6:$K$728,"&gt;"&amp;K408)+1</f>
        <v>49</v>
      </c>
      <c r="M408" s="10" t="n">
        <f aca="false">K408/SUMIFS($K$6:$K$728,$I$6:$I$728,I408)</f>
        <v>0.00313479623824451</v>
      </c>
    </row>
    <row r="409" customFormat="false" ht="15" hidden="false" customHeight="false" outlineLevel="0" collapsed="false">
      <c r="I409" s="8" t="s">
        <v>20</v>
      </c>
      <c r="J409" s="8" t="s">
        <v>482</v>
      </c>
      <c r="K409" s="9" t="n">
        <v>1</v>
      </c>
      <c r="L409" s="8" t="n">
        <f aca="false">COUNTIFS($I$6:$I$728,I409,$K$6:$K$728,"&gt;"&amp;K409)+1</f>
        <v>49</v>
      </c>
      <c r="M409" s="10" t="n">
        <f aca="false">K409/SUMIFS($K$6:$K$728,$I$6:$I$728,I409)</f>
        <v>0.00313479623824451</v>
      </c>
    </row>
    <row r="410" customFormat="false" ht="15" hidden="false" customHeight="false" outlineLevel="0" collapsed="false">
      <c r="I410" s="8" t="s">
        <v>20</v>
      </c>
      <c r="J410" s="8" t="s">
        <v>483</v>
      </c>
      <c r="K410" s="9" t="n">
        <v>1</v>
      </c>
      <c r="L410" s="8" t="n">
        <f aca="false">COUNTIFS($I$6:$I$728,I410,$K$6:$K$728,"&gt;"&amp;K410)+1</f>
        <v>49</v>
      </c>
      <c r="M410" s="10" t="n">
        <f aca="false">K410/SUMIFS($K$6:$K$728,$I$6:$I$728,I410)</f>
        <v>0.00313479623824451</v>
      </c>
    </row>
    <row r="411" customFormat="false" ht="15" hidden="false" customHeight="false" outlineLevel="0" collapsed="false">
      <c r="I411" s="8" t="s">
        <v>20</v>
      </c>
      <c r="J411" s="8" t="s">
        <v>484</v>
      </c>
      <c r="K411" s="9" t="n">
        <v>1</v>
      </c>
      <c r="L411" s="8" t="n">
        <f aca="false">COUNTIFS($I$6:$I$728,I411,$K$6:$K$728,"&gt;"&amp;K411)+1</f>
        <v>49</v>
      </c>
      <c r="M411" s="10" t="n">
        <f aca="false">K411/SUMIFS($K$6:$K$728,$I$6:$I$728,I411)</f>
        <v>0.00313479623824451</v>
      </c>
    </row>
    <row r="412" customFormat="false" ht="15" hidden="false" customHeight="false" outlineLevel="0" collapsed="false">
      <c r="I412" s="8" t="s">
        <v>20</v>
      </c>
      <c r="J412" s="8" t="s">
        <v>485</v>
      </c>
      <c r="K412" s="9" t="n">
        <v>1</v>
      </c>
      <c r="L412" s="8" t="n">
        <f aca="false">COUNTIFS($I$6:$I$728,I412,$K$6:$K$728,"&gt;"&amp;K412)+1</f>
        <v>49</v>
      </c>
      <c r="M412" s="10" t="n">
        <f aca="false">K412/SUMIFS($K$6:$K$728,$I$6:$I$728,I412)</f>
        <v>0.00313479623824451</v>
      </c>
    </row>
    <row r="413" customFormat="false" ht="15" hidden="false" customHeight="false" outlineLevel="0" collapsed="false">
      <c r="I413" s="8" t="s">
        <v>20</v>
      </c>
      <c r="J413" s="8" t="s">
        <v>486</v>
      </c>
      <c r="K413" s="9" t="n">
        <v>1</v>
      </c>
      <c r="L413" s="8" t="n">
        <f aca="false">COUNTIFS($I$6:$I$728,I413,$K$6:$K$728,"&gt;"&amp;K413)+1</f>
        <v>49</v>
      </c>
      <c r="M413" s="10" t="n">
        <f aca="false">K413/SUMIFS($K$6:$K$728,$I$6:$I$728,I413)</f>
        <v>0.00313479623824451</v>
      </c>
    </row>
    <row r="414" customFormat="false" ht="15" hidden="false" customHeight="false" outlineLevel="0" collapsed="false">
      <c r="I414" s="8" t="s">
        <v>20</v>
      </c>
      <c r="J414" s="8" t="s">
        <v>487</v>
      </c>
      <c r="K414" s="9" t="n">
        <v>1</v>
      </c>
      <c r="L414" s="8" t="n">
        <f aca="false">COUNTIFS($I$6:$I$728,I414,$K$6:$K$728,"&gt;"&amp;K414)+1</f>
        <v>49</v>
      </c>
      <c r="M414" s="10" t="n">
        <f aca="false">K414/SUMIFS($K$6:$K$728,$I$6:$I$728,I414)</f>
        <v>0.00313479623824451</v>
      </c>
    </row>
    <row r="415" customFormat="false" ht="15" hidden="false" customHeight="false" outlineLevel="0" collapsed="false">
      <c r="I415" s="8" t="s">
        <v>20</v>
      </c>
      <c r="J415" s="8" t="s">
        <v>488</v>
      </c>
      <c r="K415" s="9" t="n">
        <v>1</v>
      </c>
      <c r="L415" s="8" t="n">
        <f aca="false">COUNTIFS($I$6:$I$728,I415,$K$6:$K$728,"&gt;"&amp;K415)+1</f>
        <v>49</v>
      </c>
      <c r="M415" s="10" t="n">
        <f aca="false">K415/SUMIFS($K$6:$K$728,$I$6:$I$728,I415)</f>
        <v>0.00313479623824451</v>
      </c>
    </row>
    <row r="416" customFormat="false" ht="15" hidden="false" customHeight="false" outlineLevel="0" collapsed="false">
      <c r="I416" s="8" t="s">
        <v>20</v>
      </c>
      <c r="J416" s="8" t="s">
        <v>489</v>
      </c>
      <c r="K416" s="9" t="n">
        <v>1</v>
      </c>
      <c r="L416" s="8" t="n">
        <f aca="false">COUNTIFS($I$6:$I$728,I416,$K$6:$K$728,"&gt;"&amp;K416)+1</f>
        <v>49</v>
      </c>
      <c r="M416" s="10" t="n">
        <f aca="false">K416/SUMIFS($K$6:$K$728,$I$6:$I$728,I416)</f>
        <v>0.00313479623824451</v>
      </c>
    </row>
    <row r="417" customFormat="false" ht="15" hidden="false" customHeight="false" outlineLevel="0" collapsed="false">
      <c r="I417" s="8" t="s">
        <v>20</v>
      </c>
      <c r="J417" s="8" t="s">
        <v>490</v>
      </c>
      <c r="K417" s="9" t="n">
        <v>1</v>
      </c>
      <c r="L417" s="8" t="n">
        <f aca="false">COUNTIFS($I$6:$I$728,I417,$K$6:$K$728,"&gt;"&amp;K417)+1</f>
        <v>49</v>
      </c>
      <c r="M417" s="10" t="n">
        <f aca="false">K417/SUMIFS($K$6:$K$728,$I$6:$I$728,I417)</f>
        <v>0.00313479623824451</v>
      </c>
    </row>
    <row r="418" customFormat="false" ht="15" hidden="false" customHeight="false" outlineLevel="0" collapsed="false">
      <c r="I418" s="8" t="s">
        <v>20</v>
      </c>
      <c r="J418" s="8" t="s">
        <v>491</v>
      </c>
      <c r="K418" s="9" t="n">
        <v>1</v>
      </c>
      <c r="L418" s="8" t="n">
        <f aca="false">COUNTIFS($I$6:$I$728,I418,$K$6:$K$728,"&gt;"&amp;K418)+1</f>
        <v>49</v>
      </c>
      <c r="M418" s="10" t="n">
        <f aca="false">K418/SUMIFS($K$6:$K$728,$I$6:$I$728,I418)</f>
        <v>0.00313479623824451</v>
      </c>
    </row>
    <row r="419" customFormat="false" ht="15" hidden="false" customHeight="false" outlineLevel="0" collapsed="false">
      <c r="I419" s="8" t="s">
        <v>20</v>
      </c>
      <c r="J419" s="8" t="s">
        <v>492</v>
      </c>
      <c r="K419" s="9" t="n">
        <v>1</v>
      </c>
      <c r="L419" s="8" t="n">
        <f aca="false">COUNTIFS($I$6:$I$728,I419,$K$6:$K$728,"&gt;"&amp;K419)+1</f>
        <v>49</v>
      </c>
      <c r="M419" s="10" t="n">
        <f aca="false">K419/SUMIFS($K$6:$K$728,$I$6:$I$728,I419)</f>
        <v>0.00313479623824451</v>
      </c>
    </row>
    <row r="420" customFormat="false" ht="15" hidden="false" customHeight="false" outlineLevel="0" collapsed="false">
      <c r="I420" s="8" t="s">
        <v>20</v>
      </c>
      <c r="J420" s="8" t="s">
        <v>493</v>
      </c>
      <c r="K420" s="9" t="n">
        <v>1</v>
      </c>
      <c r="L420" s="8" t="n">
        <f aca="false">COUNTIFS($I$6:$I$728,I420,$K$6:$K$728,"&gt;"&amp;K420)+1</f>
        <v>49</v>
      </c>
      <c r="M420" s="10" t="n">
        <f aca="false">K420/SUMIFS($K$6:$K$728,$I$6:$I$728,I420)</f>
        <v>0.00313479623824451</v>
      </c>
    </row>
    <row r="421" customFormat="false" ht="15" hidden="false" customHeight="false" outlineLevel="0" collapsed="false">
      <c r="I421" s="8" t="s">
        <v>20</v>
      </c>
      <c r="J421" s="8" t="s">
        <v>494</v>
      </c>
      <c r="K421" s="9" t="n">
        <v>1</v>
      </c>
      <c r="L421" s="8" t="n">
        <f aca="false">COUNTIFS($I$6:$I$728,I421,$K$6:$K$728,"&gt;"&amp;K421)+1</f>
        <v>49</v>
      </c>
      <c r="M421" s="10" t="n">
        <f aca="false">K421/SUMIFS($K$6:$K$728,$I$6:$I$728,I421)</f>
        <v>0.00313479623824451</v>
      </c>
    </row>
    <row r="422" customFormat="false" ht="15" hidden="false" customHeight="false" outlineLevel="0" collapsed="false">
      <c r="I422" s="8" t="s">
        <v>20</v>
      </c>
      <c r="J422" s="8" t="s">
        <v>495</v>
      </c>
      <c r="K422" s="9" t="n">
        <v>1</v>
      </c>
      <c r="L422" s="8" t="n">
        <f aca="false">COUNTIFS($I$6:$I$728,I422,$K$6:$K$728,"&gt;"&amp;K422)+1</f>
        <v>49</v>
      </c>
      <c r="M422" s="10" t="n">
        <f aca="false">K422/SUMIFS($K$6:$K$728,$I$6:$I$728,I422)</f>
        <v>0.00313479623824451</v>
      </c>
    </row>
    <row r="423" customFormat="false" ht="15" hidden="false" customHeight="false" outlineLevel="0" collapsed="false">
      <c r="I423" s="8" t="s">
        <v>20</v>
      </c>
      <c r="J423" s="8" t="s">
        <v>496</v>
      </c>
      <c r="K423" s="9" t="n">
        <v>1</v>
      </c>
      <c r="L423" s="8" t="n">
        <f aca="false">COUNTIFS($I$6:$I$728,I423,$K$6:$K$728,"&gt;"&amp;K423)+1</f>
        <v>49</v>
      </c>
      <c r="M423" s="10" t="n">
        <f aca="false">K423/SUMIFS($K$6:$K$728,$I$6:$I$728,I423)</f>
        <v>0.00313479623824451</v>
      </c>
    </row>
    <row r="424" customFormat="false" ht="15" hidden="false" customHeight="false" outlineLevel="0" collapsed="false">
      <c r="I424" s="8" t="s">
        <v>20</v>
      </c>
      <c r="J424" s="8" t="s">
        <v>497</v>
      </c>
      <c r="K424" s="9" t="n">
        <v>1</v>
      </c>
      <c r="L424" s="8" t="n">
        <f aca="false">COUNTIFS($I$6:$I$728,I424,$K$6:$K$728,"&gt;"&amp;K424)+1</f>
        <v>49</v>
      </c>
      <c r="M424" s="10" t="n">
        <f aca="false">K424/SUMIFS($K$6:$K$728,$I$6:$I$728,I424)</f>
        <v>0.00313479623824451</v>
      </c>
    </row>
    <row r="425" customFormat="false" ht="15" hidden="false" customHeight="false" outlineLevel="0" collapsed="false">
      <c r="I425" s="8" t="s">
        <v>20</v>
      </c>
      <c r="J425" s="8" t="s">
        <v>498</v>
      </c>
      <c r="K425" s="9" t="n">
        <v>1</v>
      </c>
      <c r="L425" s="8" t="n">
        <f aca="false">COUNTIFS($I$6:$I$728,I425,$K$6:$K$728,"&gt;"&amp;K425)+1</f>
        <v>49</v>
      </c>
      <c r="M425" s="10" t="n">
        <f aca="false">K425/SUMIFS($K$6:$K$728,$I$6:$I$728,I425)</f>
        <v>0.00313479623824451</v>
      </c>
    </row>
    <row r="426" customFormat="false" ht="15" hidden="false" customHeight="false" outlineLevel="0" collapsed="false">
      <c r="I426" s="8" t="s">
        <v>20</v>
      </c>
      <c r="J426" s="8" t="s">
        <v>499</v>
      </c>
      <c r="K426" s="9" t="n">
        <v>1</v>
      </c>
      <c r="L426" s="8" t="n">
        <f aca="false">COUNTIFS($I$6:$I$728,I426,$K$6:$K$728,"&gt;"&amp;K426)+1</f>
        <v>49</v>
      </c>
      <c r="M426" s="10" t="n">
        <f aca="false">K426/SUMIFS($K$6:$K$728,$I$6:$I$728,I426)</f>
        <v>0.00313479623824451</v>
      </c>
    </row>
    <row r="427" customFormat="false" ht="15" hidden="false" customHeight="false" outlineLevel="0" collapsed="false">
      <c r="I427" s="8" t="s">
        <v>20</v>
      </c>
      <c r="J427" s="8" t="s">
        <v>500</v>
      </c>
      <c r="K427" s="9" t="n">
        <v>1</v>
      </c>
      <c r="L427" s="8" t="n">
        <f aca="false">COUNTIFS($I$6:$I$728,I427,$K$6:$K$728,"&gt;"&amp;K427)+1</f>
        <v>49</v>
      </c>
      <c r="M427" s="10" t="n">
        <f aca="false">K427/SUMIFS($K$6:$K$728,$I$6:$I$728,I427)</f>
        <v>0.00313479623824451</v>
      </c>
    </row>
    <row r="428" customFormat="false" ht="15" hidden="false" customHeight="false" outlineLevel="0" collapsed="false">
      <c r="I428" s="8" t="s">
        <v>20</v>
      </c>
      <c r="J428" s="8" t="s">
        <v>501</v>
      </c>
      <c r="K428" s="9" t="n">
        <v>1</v>
      </c>
      <c r="L428" s="8" t="n">
        <f aca="false">COUNTIFS($I$6:$I$728,I428,$K$6:$K$728,"&gt;"&amp;K428)+1</f>
        <v>49</v>
      </c>
      <c r="M428" s="10" t="n">
        <f aca="false">K428/SUMIFS($K$6:$K$728,$I$6:$I$728,I428)</f>
        <v>0.00313479623824451</v>
      </c>
    </row>
    <row r="429" customFormat="false" ht="15" hidden="false" customHeight="false" outlineLevel="0" collapsed="false">
      <c r="I429" s="8" t="s">
        <v>20</v>
      </c>
      <c r="J429" s="8" t="s">
        <v>502</v>
      </c>
      <c r="K429" s="9" t="n">
        <v>1</v>
      </c>
      <c r="L429" s="8" t="n">
        <f aca="false">COUNTIFS($I$6:$I$728,I429,$K$6:$K$728,"&gt;"&amp;K429)+1</f>
        <v>49</v>
      </c>
      <c r="M429" s="10" t="n">
        <f aca="false">K429/SUMIFS($K$6:$K$728,$I$6:$I$728,I429)</f>
        <v>0.00313479623824451</v>
      </c>
    </row>
    <row r="430" customFormat="false" ht="15" hidden="false" customHeight="false" outlineLevel="0" collapsed="false">
      <c r="I430" s="8" t="s">
        <v>20</v>
      </c>
      <c r="J430" s="8" t="s">
        <v>503</v>
      </c>
      <c r="K430" s="9" t="n">
        <v>1</v>
      </c>
      <c r="L430" s="8" t="n">
        <f aca="false">COUNTIFS($I$6:$I$728,I430,$K$6:$K$728,"&gt;"&amp;K430)+1</f>
        <v>49</v>
      </c>
      <c r="M430" s="10" t="n">
        <f aca="false">K430/SUMIFS($K$6:$K$728,$I$6:$I$728,I430)</f>
        <v>0.00313479623824451</v>
      </c>
    </row>
    <row r="431" customFormat="false" ht="15" hidden="false" customHeight="false" outlineLevel="0" collapsed="false">
      <c r="I431" s="8" t="s">
        <v>20</v>
      </c>
      <c r="J431" s="8" t="s">
        <v>504</v>
      </c>
      <c r="K431" s="9" t="n">
        <v>1</v>
      </c>
      <c r="L431" s="8" t="n">
        <f aca="false">COUNTIFS($I$6:$I$728,I431,$K$6:$K$728,"&gt;"&amp;K431)+1</f>
        <v>49</v>
      </c>
      <c r="M431" s="10" t="n">
        <f aca="false">K431/SUMIFS($K$6:$K$728,$I$6:$I$728,I431)</f>
        <v>0.00313479623824451</v>
      </c>
    </row>
    <row r="432" customFormat="false" ht="15" hidden="false" customHeight="false" outlineLevel="0" collapsed="false">
      <c r="I432" s="8" t="s">
        <v>20</v>
      </c>
      <c r="J432" s="8" t="s">
        <v>505</v>
      </c>
      <c r="K432" s="9" t="n">
        <v>1</v>
      </c>
      <c r="L432" s="8" t="n">
        <f aca="false">COUNTIFS($I$6:$I$728,I432,$K$6:$K$728,"&gt;"&amp;K432)+1</f>
        <v>49</v>
      </c>
      <c r="M432" s="10" t="n">
        <f aca="false">K432/SUMIFS($K$6:$K$728,$I$6:$I$728,I432)</f>
        <v>0.00313479623824451</v>
      </c>
    </row>
    <row r="433" customFormat="false" ht="15" hidden="false" customHeight="false" outlineLevel="0" collapsed="false">
      <c r="I433" s="8" t="s">
        <v>20</v>
      </c>
      <c r="J433" s="8" t="s">
        <v>152</v>
      </c>
      <c r="K433" s="9" t="n">
        <v>1</v>
      </c>
      <c r="L433" s="8" t="n">
        <f aca="false">COUNTIFS($I$6:$I$728,I433,$K$6:$K$728,"&gt;"&amp;K433)+1</f>
        <v>49</v>
      </c>
      <c r="M433" s="10" t="n">
        <f aca="false">K433/SUMIFS($K$6:$K$728,$I$6:$I$728,I433)</f>
        <v>0.00313479623824451</v>
      </c>
    </row>
    <row r="434" customFormat="false" ht="15" hidden="false" customHeight="false" outlineLevel="0" collapsed="false">
      <c r="I434" s="8" t="s">
        <v>20</v>
      </c>
      <c r="J434" s="8" t="s">
        <v>506</v>
      </c>
      <c r="K434" s="9" t="n">
        <v>1</v>
      </c>
      <c r="L434" s="8" t="n">
        <f aca="false">COUNTIFS($I$6:$I$728,I434,$K$6:$K$728,"&gt;"&amp;K434)+1</f>
        <v>49</v>
      </c>
      <c r="M434" s="10" t="n">
        <f aca="false">K434/SUMIFS($K$6:$K$728,$I$6:$I$728,I434)</f>
        <v>0.00313479623824451</v>
      </c>
    </row>
    <row r="435" customFormat="false" ht="15" hidden="false" customHeight="false" outlineLevel="0" collapsed="false">
      <c r="I435" s="8" t="s">
        <v>20</v>
      </c>
      <c r="J435" s="8" t="s">
        <v>507</v>
      </c>
      <c r="K435" s="9" t="n">
        <v>1</v>
      </c>
      <c r="L435" s="8" t="n">
        <f aca="false">COUNTIFS($I$6:$I$728,I435,$K$6:$K$728,"&gt;"&amp;K435)+1</f>
        <v>49</v>
      </c>
      <c r="M435" s="10" t="n">
        <f aca="false">K435/SUMIFS($K$6:$K$728,$I$6:$I$728,I435)</f>
        <v>0.00313479623824451</v>
      </c>
    </row>
    <row r="436" customFormat="false" ht="15" hidden="false" customHeight="false" outlineLevel="0" collapsed="false">
      <c r="I436" s="8" t="s">
        <v>20</v>
      </c>
      <c r="J436" s="8" t="s">
        <v>508</v>
      </c>
      <c r="K436" s="9" t="n">
        <v>1</v>
      </c>
      <c r="L436" s="8" t="n">
        <f aca="false">COUNTIFS($I$6:$I$728,I436,$K$6:$K$728,"&gt;"&amp;K436)+1</f>
        <v>49</v>
      </c>
      <c r="M436" s="10" t="n">
        <f aca="false">K436/SUMIFS($K$6:$K$728,$I$6:$I$728,I436)</f>
        <v>0.00313479623824451</v>
      </c>
    </row>
    <row r="437" customFormat="false" ht="15" hidden="false" customHeight="false" outlineLevel="0" collapsed="false">
      <c r="I437" s="8" t="s">
        <v>20</v>
      </c>
      <c r="J437" s="8" t="s">
        <v>509</v>
      </c>
      <c r="K437" s="9" t="n">
        <v>1</v>
      </c>
      <c r="L437" s="8" t="n">
        <f aca="false">COUNTIFS($I$6:$I$728,I437,$K$6:$K$728,"&gt;"&amp;K437)+1</f>
        <v>49</v>
      </c>
      <c r="M437" s="10" t="n">
        <f aca="false">K437/SUMIFS($K$6:$K$728,$I$6:$I$728,I437)</f>
        <v>0.00313479623824451</v>
      </c>
    </row>
    <row r="438" customFormat="false" ht="15" hidden="false" customHeight="false" outlineLevel="0" collapsed="false">
      <c r="I438" s="8" t="s">
        <v>20</v>
      </c>
      <c r="J438" s="8" t="s">
        <v>510</v>
      </c>
      <c r="K438" s="9" t="n">
        <v>1</v>
      </c>
      <c r="L438" s="8" t="n">
        <f aca="false">COUNTIFS($I$6:$I$728,I438,$K$6:$K$728,"&gt;"&amp;K438)+1</f>
        <v>49</v>
      </c>
      <c r="M438" s="10" t="n">
        <f aca="false">K438/SUMIFS($K$6:$K$728,$I$6:$I$728,I438)</f>
        <v>0.00313479623824451</v>
      </c>
    </row>
    <row r="439" customFormat="false" ht="15" hidden="false" customHeight="false" outlineLevel="0" collapsed="false">
      <c r="I439" s="8" t="s">
        <v>20</v>
      </c>
      <c r="J439" s="8" t="s">
        <v>511</v>
      </c>
      <c r="K439" s="9" t="n">
        <v>1</v>
      </c>
      <c r="L439" s="8" t="n">
        <f aca="false">COUNTIFS($I$6:$I$728,I439,$K$6:$K$728,"&gt;"&amp;K439)+1</f>
        <v>49</v>
      </c>
      <c r="M439" s="10" t="n">
        <f aca="false">K439/SUMIFS($K$6:$K$728,$I$6:$I$728,I439)</f>
        <v>0.00313479623824451</v>
      </c>
    </row>
    <row r="440" customFormat="false" ht="15" hidden="false" customHeight="false" outlineLevel="0" collapsed="false">
      <c r="I440" s="8" t="s">
        <v>20</v>
      </c>
      <c r="J440" s="8" t="s">
        <v>512</v>
      </c>
      <c r="K440" s="9" t="n">
        <v>1</v>
      </c>
      <c r="L440" s="8" t="n">
        <f aca="false">COUNTIFS($I$6:$I$728,I440,$K$6:$K$728,"&gt;"&amp;K440)+1</f>
        <v>49</v>
      </c>
      <c r="M440" s="10" t="n">
        <f aca="false">K440/SUMIFS($K$6:$K$728,$I$6:$I$728,I440)</f>
        <v>0.00313479623824451</v>
      </c>
    </row>
    <row r="441" customFormat="false" ht="15" hidden="false" customHeight="false" outlineLevel="0" collapsed="false">
      <c r="I441" s="8" t="s">
        <v>20</v>
      </c>
      <c r="J441" s="8" t="s">
        <v>513</v>
      </c>
      <c r="K441" s="9" t="n">
        <v>1</v>
      </c>
      <c r="L441" s="8" t="n">
        <f aca="false">COUNTIFS($I$6:$I$728,I441,$K$6:$K$728,"&gt;"&amp;K441)+1</f>
        <v>49</v>
      </c>
      <c r="M441" s="10" t="n">
        <f aca="false">K441/SUMIFS($K$6:$K$728,$I$6:$I$728,I441)</f>
        <v>0.00313479623824451</v>
      </c>
    </row>
    <row r="442" customFormat="false" ht="15" hidden="false" customHeight="false" outlineLevel="0" collapsed="false">
      <c r="I442" s="8" t="s">
        <v>20</v>
      </c>
      <c r="J442" s="8" t="s">
        <v>514</v>
      </c>
      <c r="K442" s="9" t="n">
        <v>1</v>
      </c>
      <c r="L442" s="8" t="n">
        <f aca="false">COUNTIFS($I$6:$I$728,I442,$K$6:$K$728,"&gt;"&amp;K442)+1</f>
        <v>49</v>
      </c>
      <c r="M442" s="10" t="n">
        <f aca="false">K442/SUMIFS($K$6:$K$728,$I$6:$I$728,I442)</f>
        <v>0.00313479623824451</v>
      </c>
    </row>
    <row r="443" customFormat="false" ht="15" hidden="false" customHeight="false" outlineLevel="0" collapsed="false">
      <c r="I443" s="8" t="s">
        <v>20</v>
      </c>
      <c r="J443" s="8" t="s">
        <v>515</v>
      </c>
      <c r="K443" s="9" t="n">
        <v>1</v>
      </c>
      <c r="L443" s="8" t="n">
        <f aca="false">COUNTIFS($I$6:$I$728,I443,$K$6:$K$728,"&gt;"&amp;K443)+1</f>
        <v>49</v>
      </c>
      <c r="M443" s="10" t="n">
        <f aca="false">K443/SUMIFS($K$6:$K$728,$I$6:$I$728,I443)</f>
        <v>0.00313479623824451</v>
      </c>
    </row>
    <row r="444" customFormat="false" ht="15" hidden="false" customHeight="false" outlineLevel="0" collapsed="false">
      <c r="I444" s="8" t="s">
        <v>20</v>
      </c>
      <c r="J444" s="8" t="s">
        <v>516</v>
      </c>
      <c r="K444" s="9" t="n">
        <v>1</v>
      </c>
      <c r="L444" s="8" t="n">
        <f aca="false">COUNTIFS($I$6:$I$728,I444,$K$6:$K$728,"&gt;"&amp;K444)+1</f>
        <v>49</v>
      </c>
      <c r="M444" s="10" t="n">
        <f aca="false">K444/SUMIFS($K$6:$K$728,$I$6:$I$728,I444)</f>
        <v>0.00313479623824451</v>
      </c>
    </row>
    <row r="445" customFormat="false" ht="15" hidden="false" customHeight="false" outlineLevel="0" collapsed="false">
      <c r="I445" s="8" t="s">
        <v>20</v>
      </c>
      <c r="J445" s="8" t="s">
        <v>517</v>
      </c>
      <c r="K445" s="9" t="n">
        <v>1</v>
      </c>
      <c r="L445" s="8" t="n">
        <f aca="false">COUNTIFS($I$6:$I$728,I445,$K$6:$K$728,"&gt;"&amp;K445)+1</f>
        <v>49</v>
      </c>
      <c r="M445" s="10" t="n">
        <f aca="false">K445/SUMIFS($K$6:$K$728,$I$6:$I$728,I445)</f>
        <v>0.00313479623824451</v>
      </c>
    </row>
    <row r="446" customFormat="false" ht="15" hidden="false" customHeight="false" outlineLevel="0" collapsed="false">
      <c r="I446" s="8" t="s">
        <v>20</v>
      </c>
      <c r="J446" s="8" t="s">
        <v>518</v>
      </c>
      <c r="K446" s="9" t="n">
        <v>1</v>
      </c>
      <c r="L446" s="8" t="n">
        <f aca="false">COUNTIFS($I$6:$I$728,I446,$K$6:$K$728,"&gt;"&amp;K446)+1</f>
        <v>49</v>
      </c>
      <c r="M446" s="10" t="n">
        <f aca="false">K446/SUMIFS($K$6:$K$728,$I$6:$I$728,I446)</f>
        <v>0.00313479623824451</v>
      </c>
    </row>
    <row r="447" customFormat="false" ht="15" hidden="false" customHeight="false" outlineLevel="0" collapsed="false">
      <c r="I447" s="8" t="s">
        <v>20</v>
      </c>
      <c r="J447" s="8" t="s">
        <v>519</v>
      </c>
      <c r="K447" s="9" t="n">
        <v>1</v>
      </c>
      <c r="L447" s="8" t="n">
        <f aca="false">COUNTIFS($I$6:$I$728,I447,$K$6:$K$728,"&gt;"&amp;K447)+1</f>
        <v>49</v>
      </c>
      <c r="M447" s="10" t="n">
        <f aca="false">K447/SUMIFS($K$6:$K$728,$I$6:$I$728,I447)</f>
        <v>0.00313479623824451</v>
      </c>
    </row>
    <row r="448" customFormat="false" ht="15" hidden="false" customHeight="false" outlineLevel="0" collapsed="false">
      <c r="I448" s="8" t="s">
        <v>20</v>
      </c>
      <c r="J448" s="8" t="s">
        <v>520</v>
      </c>
      <c r="K448" s="9" t="n">
        <v>1</v>
      </c>
      <c r="L448" s="8" t="n">
        <f aca="false">COUNTIFS($I$6:$I$728,I448,$K$6:$K$728,"&gt;"&amp;K448)+1</f>
        <v>49</v>
      </c>
      <c r="M448" s="10" t="n">
        <f aca="false">K448/SUMIFS($K$6:$K$728,$I$6:$I$728,I448)</f>
        <v>0.00313479623824451</v>
      </c>
    </row>
    <row r="449" customFormat="false" ht="15" hidden="false" customHeight="false" outlineLevel="0" collapsed="false">
      <c r="I449" s="8" t="s">
        <v>20</v>
      </c>
      <c r="J449" s="8" t="s">
        <v>521</v>
      </c>
      <c r="K449" s="9" t="n">
        <v>1</v>
      </c>
      <c r="L449" s="8" t="n">
        <f aca="false">COUNTIFS($I$6:$I$728,I449,$K$6:$K$728,"&gt;"&amp;K449)+1</f>
        <v>49</v>
      </c>
      <c r="M449" s="10" t="n">
        <f aca="false">K449/SUMIFS($K$6:$K$728,$I$6:$I$728,I449)</f>
        <v>0.00313479623824451</v>
      </c>
    </row>
    <row r="450" customFormat="false" ht="15" hidden="false" customHeight="false" outlineLevel="0" collapsed="false">
      <c r="I450" s="8" t="s">
        <v>20</v>
      </c>
      <c r="J450" s="8" t="s">
        <v>522</v>
      </c>
      <c r="K450" s="9" t="n">
        <v>1</v>
      </c>
      <c r="L450" s="8" t="n">
        <f aca="false">COUNTIFS($I$6:$I$728,I450,$K$6:$K$728,"&gt;"&amp;K450)+1</f>
        <v>49</v>
      </c>
      <c r="M450" s="10" t="n">
        <f aca="false">K450/SUMIFS($K$6:$K$728,$I$6:$I$728,I450)</f>
        <v>0.00313479623824451</v>
      </c>
    </row>
    <row r="451" customFormat="false" ht="15" hidden="false" customHeight="false" outlineLevel="0" collapsed="false">
      <c r="I451" s="8" t="s">
        <v>20</v>
      </c>
      <c r="J451" s="8" t="s">
        <v>523</v>
      </c>
      <c r="K451" s="9" t="n">
        <v>1</v>
      </c>
      <c r="L451" s="8" t="n">
        <f aca="false">COUNTIFS($I$6:$I$728,I451,$K$6:$K$728,"&gt;"&amp;K451)+1</f>
        <v>49</v>
      </c>
      <c r="M451" s="10" t="n">
        <f aca="false">K451/SUMIFS($K$6:$K$728,$I$6:$I$728,I451)</f>
        <v>0.00313479623824451</v>
      </c>
    </row>
    <row r="452" customFormat="false" ht="15" hidden="false" customHeight="false" outlineLevel="0" collapsed="false">
      <c r="I452" s="8" t="s">
        <v>25</v>
      </c>
      <c r="J452" s="8" t="s">
        <v>142</v>
      </c>
      <c r="K452" s="9" t="n">
        <v>71</v>
      </c>
      <c r="L452" s="8" t="n">
        <f aca="false">COUNTIFS($I$6:$I$728,I452,$K$6:$K$728,"&gt;"&amp;K452)+1</f>
        <v>1</v>
      </c>
      <c r="M452" s="10" t="n">
        <f aca="false">K452/SUMIFS($K$6:$K$728,$I$6:$I$728,I452)</f>
        <v>0.43558282208589</v>
      </c>
    </row>
    <row r="453" customFormat="false" ht="15" hidden="false" customHeight="false" outlineLevel="0" collapsed="false">
      <c r="I453" s="8" t="s">
        <v>25</v>
      </c>
      <c r="J453" s="8" t="s">
        <v>144</v>
      </c>
      <c r="K453" s="9" t="n">
        <v>16</v>
      </c>
      <c r="L453" s="8" t="n">
        <f aca="false">COUNTIFS($I$6:$I$728,I453,$K$6:$K$728,"&gt;"&amp;K453)+1</f>
        <v>2</v>
      </c>
      <c r="M453" s="10" t="n">
        <f aca="false">K453/SUMIFS($K$6:$K$728,$I$6:$I$728,I453)</f>
        <v>0.098159509202454</v>
      </c>
    </row>
    <row r="454" customFormat="false" ht="15" hidden="false" customHeight="false" outlineLevel="0" collapsed="false">
      <c r="I454" s="8" t="s">
        <v>25</v>
      </c>
      <c r="J454" s="8" t="s">
        <v>146</v>
      </c>
      <c r="K454" s="9" t="n">
        <v>7</v>
      </c>
      <c r="L454" s="8" t="n">
        <f aca="false">COUNTIFS($I$6:$I$728,I454,$K$6:$K$728,"&gt;"&amp;K454)+1</f>
        <v>3</v>
      </c>
      <c r="M454" s="10" t="n">
        <f aca="false">K454/SUMIFS($K$6:$K$728,$I$6:$I$728,I454)</f>
        <v>0.0429447852760736</v>
      </c>
    </row>
    <row r="455" customFormat="false" ht="15" hidden="false" customHeight="false" outlineLevel="0" collapsed="false">
      <c r="I455" s="8" t="s">
        <v>25</v>
      </c>
      <c r="J455" s="8" t="s">
        <v>148</v>
      </c>
      <c r="K455" s="9" t="n">
        <v>5</v>
      </c>
      <c r="L455" s="8" t="n">
        <f aca="false">COUNTIFS($I$6:$I$728,I455,$K$6:$K$728,"&gt;"&amp;K455)+1</f>
        <v>4</v>
      </c>
      <c r="M455" s="10" t="n">
        <f aca="false">K455/SUMIFS($K$6:$K$728,$I$6:$I$728,I455)</f>
        <v>0.0306748466257669</v>
      </c>
    </row>
    <row r="456" customFormat="false" ht="15" hidden="false" customHeight="false" outlineLevel="0" collapsed="false">
      <c r="I456" s="8" t="s">
        <v>25</v>
      </c>
      <c r="J456" s="8" t="s">
        <v>150</v>
      </c>
      <c r="K456" s="9" t="n">
        <v>5</v>
      </c>
      <c r="L456" s="8" t="n">
        <f aca="false">COUNTIFS($I$6:$I$728,I456,$K$6:$K$728,"&gt;"&amp;K456)+1</f>
        <v>4</v>
      </c>
      <c r="M456" s="10" t="n">
        <f aca="false">K456/SUMIFS($K$6:$K$728,$I$6:$I$728,I456)</f>
        <v>0.0306748466257669</v>
      </c>
    </row>
    <row r="457" customFormat="false" ht="15" hidden="false" customHeight="false" outlineLevel="0" collapsed="false">
      <c r="I457" s="8" t="s">
        <v>25</v>
      </c>
      <c r="J457" s="8" t="s">
        <v>152</v>
      </c>
      <c r="K457" s="9" t="n">
        <v>5</v>
      </c>
      <c r="L457" s="8" t="n">
        <f aca="false">COUNTIFS($I$6:$I$728,I457,$K$6:$K$728,"&gt;"&amp;K457)+1</f>
        <v>4</v>
      </c>
      <c r="M457" s="10" t="n">
        <f aca="false">K457/SUMIFS($K$6:$K$728,$I$6:$I$728,I457)</f>
        <v>0.0306748466257669</v>
      </c>
    </row>
    <row r="458" customFormat="false" ht="15" hidden="false" customHeight="false" outlineLevel="0" collapsed="false">
      <c r="I458" s="8" t="s">
        <v>25</v>
      </c>
      <c r="J458" s="8" t="s">
        <v>154</v>
      </c>
      <c r="K458" s="9" t="n">
        <v>3</v>
      </c>
      <c r="L458" s="8" t="n">
        <f aca="false">COUNTIFS($I$6:$I$728,I458,$K$6:$K$728,"&gt;"&amp;K458)+1</f>
        <v>7</v>
      </c>
      <c r="M458" s="10" t="n">
        <f aca="false">K458/SUMIFS($K$6:$K$728,$I$6:$I$728,I458)</f>
        <v>0.0184049079754601</v>
      </c>
    </row>
    <row r="459" customFormat="false" ht="15" hidden="false" customHeight="false" outlineLevel="0" collapsed="false">
      <c r="I459" s="8" t="s">
        <v>25</v>
      </c>
      <c r="J459" s="8" t="s">
        <v>156</v>
      </c>
      <c r="K459" s="9" t="n">
        <v>2</v>
      </c>
      <c r="L459" s="8" t="n">
        <f aca="false">COUNTIFS($I$6:$I$728,I459,$K$6:$K$728,"&gt;"&amp;K459)+1</f>
        <v>8</v>
      </c>
      <c r="M459" s="10" t="n">
        <f aca="false">K459/SUMIFS($K$6:$K$728,$I$6:$I$728,I459)</f>
        <v>0.0122699386503067</v>
      </c>
    </row>
    <row r="460" customFormat="false" ht="15" hidden="false" customHeight="false" outlineLevel="0" collapsed="false">
      <c r="I460" s="8" t="s">
        <v>25</v>
      </c>
      <c r="J460" s="8" t="s">
        <v>158</v>
      </c>
      <c r="K460" s="9" t="n">
        <v>2</v>
      </c>
      <c r="L460" s="8" t="n">
        <f aca="false">COUNTIFS($I$6:$I$728,I460,$K$6:$K$728,"&gt;"&amp;K460)+1</f>
        <v>8</v>
      </c>
      <c r="M460" s="10" t="n">
        <f aca="false">K460/SUMIFS($K$6:$K$728,$I$6:$I$728,I460)</f>
        <v>0.0122699386503067</v>
      </c>
    </row>
    <row r="461" customFormat="false" ht="15" hidden="false" customHeight="false" outlineLevel="0" collapsed="false">
      <c r="I461" s="8" t="s">
        <v>25</v>
      </c>
      <c r="J461" s="8" t="s">
        <v>160</v>
      </c>
      <c r="K461" s="9" t="n">
        <v>2</v>
      </c>
      <c r="L461" s="8" t="n">
        <f aca="false">COUNTIFS($I$6:$I$728,I461,$K$6:$K$728,"&gt;"&amp;K461)+1</f>
        <v>8</v>
      </c>
      <c r="M461" s="10" t="n">
        <f aca="false">K461/SUMIFS($K$6:$K$728,$I$6:$I$728,I461)</f>
        <v>0.0122699386503067</v>
      </c>
    </row>
    <row r="462" customFormat="false" ht="15" hidden="false" customHeight="false" outlineLevel="0" collapsed="false">
      <c r="I462" s="8" t="s">
        <v>25</v>
      </c>
      <c r="J462" s="8" t="s">
        <v>524</v>
      </c>
      <c r="K462" s="9" t="n">
        <v>2</v>
      </c>
      <c r="L462" s="8" t="n">
        <f aca="false">COUNTIFS($I$6:$I$728,I462,$K$6:$K$728,"&gt;"&amp;K462)+1</f>
        <v>8</v>
      </c>
      <c r="M462" s="10" t="n">
        <f aca="false">K462/SUMIFS($K$6:$K$728,$I$6:$I$728,I462)</f>
        <v>0.0122699386503067</v>
      </c>
    </row>
    <row r="463" customFormat="false" ht="15" hidden="false" customHeight="false" outlineLevel="0" collapsed="false">
      <c r="I463" s="8" t="s">
        <v>25</v>
      </c>
      <c r="J463" s="8" t="s">
        <v>525</v>
      </c>
      <c r="K463" s="9" t="n">
        <v>2</v>
      </c>
      <c r="L463" s="8" t="n">
        <f aca="false">COUNTIFS($I$6:$I$728,I463,$K$6:$K$728,"&gt;"&amp;K463)+1</f>
        <v>8</v>
      </c>
      <c r="M463" s="10" t="n">
        <f aca="false">K463/SUMIFS($K$6:$K$728,$I$6:$I$728,I463)</f>
        <v>0.0122699386503067</v>
      </c>
    </row>
    <row r="464" customFormat="false" ht="15" hidden="false" customHeight="false" outlineLevel="0" collapsed="false">
      <c r="I464" s="8" t="s">
        <v>25</v>
      </c>
      <c r="J464" s="8" t="s">
        <v>526</v>
      </c>
      <c r="K464" s="9" t="n">
        <v>2</v>
      </c>
      <c r="L464" s="8" t="n">
        <f aca="false">COUNTIFS($I$6:$I$728,I464,$K$6:$K$728,"&gt;"&amp;K464)+1</f>
        <v>8</v>
      </c>
      <c r="M464" s="10" t="n">
        <f aca="false">K464/SUMIFS($K$6:$K$728,$I$6:$I$728,I464)</f>
        <v>0.0122699386503067</v>
      </c>
    </row>
    <row r="465" customFormat="false" ht="15" hidden="false" customHeight="false" outlineLevel="0" collapsed="false">
      <c r="I465" s="8" t="s">
        <v>25</v>
      </c>
      <c r="J465" s="8" t="s">
        <v>527</v>
      </c>
      <c r="K465" s="9" t="n">
        <v>2</v>
      </c>
      <c r="L465" s="8" t="n">
        <f aca="false">COUNTIFS($I$6:$I$728,I465,$K$6:$K$728,"&gt;"&amp;K465)+1</f>
        <v>8</v>
      </c>
      <c r="M465" s="10" t="n">
        <f aca="false">K465/SUMIFS($K$6:$K$728,$I$6:$I$728,I465)</f>
        <v>0.0122699386503067</v>
      </c>
    </row>
    <row r="466" customFormat="false" ht="15" hidden="false" customHeight="false" outlineLevel="0" collapsed="false">
      <c r="I466" s="8" t="s">
        <v>25</v>
      </c>
      <c r="J466" s="8" t="s">
        <v>528</v>
      </c>
      <c r="K466" s="9" t="n">
        <v>2</v>
      </c>
      <c r="L466" s="8" t="n">
        <f aca="false">COUNTIFS($I$6:$I$728,I466,$K$6:$K$728,"&gt;"&amp;K466)+1</f>
        <v>8</v>
      </c>
      <c r="M466" s="10" t="n">
        <f aca="false">K466/SUMIFS($K$6:$K$728,$I$6:$I$728,I466)</f>
        <v>0.0122699386503067</v>
      </c>
    </row>
    <row r="467" customFormat="false" ht="15" hidden="false" customHeight="false" outlineLevel="0" collapsed="false">
      <c r="I467" s="8" t="s">
        <v>25</v>
      </c>
      <c r="J467" s="8" t="s">
        <v>509</v>
      </c>
      <c r="K467" s="9" t="n">
        <v>2</v>
      </c>
      <c r="L467" s="8" t="n">
        <f aca="false">COUNTIFS($I$6:$I$728,I467,$K$6:$K$728,"&gt;"&amp;K467)+1</f>
        <v>8</v>
      </c>
      <c r="M467" s="10" t="n">
        <f aca="false">K467/SUMIFS($K$6:$K$728,$I$6:$I$728,I467)</f>
        <v>0.0122699386503067</v>
      </c>
    </row>
    <row r="468" customFormat="false" ht="15" hidden="false" customHeight="false" outlineLevel="0" collapsed="false">
      <c r="I468" s="8" t="s">
        <v>25</v>
      </c>
      <c r="J468" s="8" t="s">
        <v>529</v>
      </c>
      <c r="K468" s="9" t="n">
        <v>2</v>
      </c>
      <c r="L468" s="8" t="n">
        <f aca="false">COUNTIFS($I$6:$I$728,I468,$K$6:$K$728,"&gt;"&amp;K468)+1</f>
        <v>8</v>
      </c>
      <c r="M468" s="10" t="n">
        <f aca="false">K468/SUMIFS($K$6:$K$728,$I$6:$I$728,I468)</f>
        <v>0.0122699386503067</v>
      </c>
    </row>
    <row r="469" customFormat="false" ht="15" hidden="false" customHeight="false" outlineLevel="0" collapsed="false">
      <c r="I469" s="8" t="s">
        <v>25</v>
      </c>
      <c r="J469" s="8" t="s">
        <v>530</v>
      </c>
      <c r="K469" s="9" t="n">
        <v>1</v>
      </c>
      <c r="L469" s="8" t="n">
        <f aca="false">COUNTIFS($I$6:$I$728,I469,$K$6:$K$728,"&gt;"&amp;K469)+1</f>
        <v>18</v>
      </c>
      <c r="M469" s="10" t="n">
        <f aca="false">K469/SUMIFS($K$6:$K$728,$I$6:$I$728,I469)</f>
        <v>0.00613496932515337</v>
      </c>
    </row>
    <row r="470" customFormat="false" ht="15" hidden="false" customHeight="false" outlineLevel="0" collapsed="false">
      <c r="I470" s="8" t="s">
        <v>25</v>
      </c>
      <c r="J470" s="8" t="s">
        <v>531</v>
      </c>
      <c r="K470" s="9" t="n">
        <v>1</v>
      </c>
      <c r="L470" s="8" t="n">
        <f aca="false">COUNTIFS($I$6:$I$728,I470,$K$6:$K$728,"&gt;"&amp;K470)+1</f>
        <v>18</v>
      </c>
      <c r="M470" s="10" t="n">
        <f aca="false">K470/SUMIFS($K$6:$K$728,$I$6:$I$728,I470)</f>
        <v>0.00613496932515337</v>
      </c>
    </row>
    <row r="471" customFormat="false" ht="15" hidden="false" customHeight="false" outlineLevel="0" collapsed="false">
      <c r="I471" s="8" t="s">
        <v>25</v>
      </c>
      <c r="J471" s="8" t="s">
        <v>532</v>
      </c>
      <c r="K471" s="9" t="n">
        <v>1</v>
      </c>
      <c r="L471" s="8" t="n">
        <f aca="false">COUNTIFS($I$6:$I$728,I471,$K$6:$K$728,"&gt;"&amp;K471)+1</f>
        <v>18</v>
      </c>
      <c r="M471" s="10" t="n">
        <f aca="false">K471/SUMIFS($K$6:$K$728,$I$6:$I$728,I471)</f>
        <v>0.00613496932515337</v>
      </c>
    </row>
    <row r="472" customFormat="false" ht="15" hidden="false" customHeight="false" outlineLevel="0" collapsed="false">
      <c r="I472" s="8" t="s">
        <v>25</v>
      </c>
      <c r="J472" s="8" t="s">
        <v>533</v>
      </c>
      <c r="K472" s="9" t="n">
        <v>1</v>
      </c>
      <c r="L472" s="8" t="n">
        <f aca="false">COUNTIFS($I$6:$I$728,I472,$K$6:$K$728,"&gt;"&amp;K472)+1</f>
        <v>18</v>
      </c>
      <c r="M472" s="10" t="n">
        <f aca="false">K472/SUMIFS($K$6:$K$728,$I$6:$I$728,I472)</f>
        <v>0.00613496932515337</v>
      </c>
    </row>
    <row r="473" customFormat="false" ht="15" hidden="false" customHeight="false" outlineLevel="0" collapsed="false">
      <c r="I473" s="8" t="s">
        <v>25</v>
      </c>
      <c r="J473" s="8" t="s">
        <v>534</v>
      </c>
      <c r="K473" s="9" t="n">
        <v>1</v>
      </c>
      <c r="L473" s="8" t="n">
        <f aca="false">COUNTIFS($I$6:$I$728,I473,$K$6:$K$728,"&gt;"&amp;K473)+1</f>
        <v>18</v>
      </c>
      <c r="M473" s="10" t="n">
        <f aca="false">K473/SUMIFS($K$6:$K$728,$I$6:$I$728,I473)</f>
        <v>0.00613496932515337</v>
      </c>
    </row>
    <row r="474" customFormat="false" ht="15" hidden="false" customHeight="false" outlineLevel="0" collapsed="false">
      <c r="I474" s="8" t="s">
        <v>25</v>
      </c>
      <c r="J474" s="8" t="s">
        <v>535</v>
      </c>
      <c r="K474" s="9" t="n">
        <v>1</v>
      </c>
      <c r="L474" s="8" t="n">
        <f aca="false">COUNTIFS($I$6:$I$728,I474,$K$6:$K$728,"&gt;"&amp;K474)+1</f>
        <v>18</v>
      </c>
      <c r="M474" s="10" t="n">
        <f aca="false">K474/SUMIFS($K$6:$K$728,$I$6:$I$728,I474)</f>
        <v>0.00613496932515337</v>
      </c>
    </row>
    <row r="475" customFormat="false" ht="15" hidden="false" customHeight="false" outlineLevel="0" collapsed="false">
      <c r="I475" s="8" t="s">
        <v>25</v>
      </c>
      <c r="J475" s="8" t="s">
        <v>536</v>
      </c>
      <c r="K475" s="9" t="n">
        <v>1</v>
      </c>
      <c r="L475" s="8" t="n">
        <f aca="false">COUNTIFS($I$6:$I$728,I475,$K$6:$K$728,"&gt;"&amp;K475)+1</f>
        <v>18</v>
      </c>
      <c r="M475" s="10" t="n">
        <f aca="false">K475/SUMIFS($K$6:$K$728,$I$6:$I$728,I475)</f>
        <v>0.00613496932515337</v>
      </c>
    </row>
    <row r="476" customFormat="false" ht="15" hidden="false" customHeight="false" outlineLevel="0" collapsed="false">
      <c r="I476" s="8" t="s">
        <v>25</v>
      </c>
      <c r="J476" s="8" t="s">
        <v>537</v>
      </c>
      <c r="K476" s="9" t="n">
        <v>1</v>
      </c>
      <c r="L476" s="8" t="n">
        <f aca="false">COUNTIFS($I$6:$I$728,I476,$K$6:$K$728,"&gt;"&amp;K476)+1</f>
        <v>18</v>
      </c>
      <c r="M476" s="10" t="n">
        <f aca="false">K476/SUMIFS($K$6:$K$728,$I$6:$I$728,I476)</f>
        <v>0.00613496932515337</v>
      </c>
    </row>
    <row r="477" customFormat="false" ht="15" hidden="false" customHeight="false" outlineLevel="0" collapsed="false">
      <c r="I477" s="8" t="s">
        <v>25</v>
      </c>
      <c r="J477" s="8" t="s">
        <v>538</v>
      </c>
      <c r="K477" s="9" t="n">
        <v>1</v>
      </c>
      <c r="L477" s="8" t="n">
        <f aca="false">COUNTIFS($I$6:$I$728,I477,$K$6:$K$728,"&gt;"&amp;K477)+1</f>
        <v>18</v>
      </c>
      <c r="M477" s="10" t="n">
        <f aca="false">K477/SUMIFS($K$6:$K$728,$I$6:$I$728,I477)</f>
        <v>0.00613496932515337</v>
      </c>
    </row>
    <row r="478" customFormat="false" ht="15" hidden="false" customHeight="false" outlineLevel="0" collapsed="false">
      <c r="I478" s="8" t="s">
        <v>25</v>
      </c>
      <c r="J478" s="8" t="s">
        <v>539</v>
      </c>
      <c r="K478" s="9" t="n">
        <v>1</v>
      </c>
      <c r="L478" s="8" t="n">
        <f aca="false">COUNTIFS($I$6:$I$728,I478,$K$6:$K$728,"&gt;"&amp;K478)+1</f>
        <v>18</v>
      </c>
      <c r="M478" s="10" t="n">
        <f aca="false">K478/SUMIFS($K$6:$K$728,$I$6:$I$728,I478)</f>
        <v>0.00613496932515337</v>
      </c>
    </row>
    <row r="479" customFormat="false" ht="15" hidden="false" customHeight="false" outlineLevel="0" collapsed="false">
      <c r="I479" s="8" t="s">
        <v>25</v>
      </c>
      <c r="J479" s="8" t="s">
        <v>540</v>
      </c>
      <c r="K479" s="9" t="n">
        <v>1</v>
      </c>
      <c r="L479" s="8" t="n">
        <f aca="false">COUNTIFS($I$6:$I$728,I479,$K$6:$K$728,"&gt;"&amp;K479)+1</f>
        <v>18</v>
      </c>
      <c r="M479" s="10" t="n">
        <f aca="false">K479/SUMIFS($K$6:$K$728,$I$6:$I$728,I479)</f>
        <v>0.00613496932515337</v>
      </c>
    </row>
    <row r="480" customFormat="false" ht="15" hidden="false" customHeight="false" outlineLevel="0" collapsed="false">
      <c r="I480" s="8" t="s">
        <v>25</v>
      </c>
      <c r="J480" s="8" t="s">
        <v>541</v>
      </c>
      <c r="K480" s="9" t="n">
        <v>1</v>
      </c>
      <c r="L480" s="8" t="n">
        <f aca="false">COUNTIFS($I$6:$I$728,I480,$K$6:$K$728,"&gt;"&amp;K480)+1</f>
        <v>18</v>
      </c>
      <c r="M480" s="10" t="n">
        <f aca="false">K480/SUMIFS($K$6:$K$728,$I$6:$I$728,I480)</f>
        <v>0.00613496932515337</v>
      </c>
    </row>
    <row r="481" customFormat="false" ht="15" hidden="false" customHeight="false" outlineLevel="0" collapsed="false">
      <c r="I481" s="8" t="s">
        <v>25</v>
      </c>
      <c r="J481" s="8" t="s">
        <v>542</v>
      </c>
      <c r="K481" s="9" t="n">
        <v>1</v>
      </c>
      <c r="L481" s="8" t="n">
        <f aca="false">COUNTIFS($I$6:$I$728,I481,$K$6:$K$728,"&gt;"&amp;K481)+1</f>
        <v>18</v>
      </c>
      <c r="M481" s="10" t="n">
        <f aca="false">K481/SUMIFS($K$6:$K$728,$I$6:$I$728,I481)</f>
        <v>0.00613496932515337</v>
      </c>
    </row>
    <row r="482" customFormat="false" ht="15" hidden="false" customHeight="false" outlineLevel="0" collapsed="false">
      <c r="I482" s="8" t="s">
        <v>25</v>
      </c>
      <c r="J482" s="8" t="s">
        <v>543</v>
      </c>
      <c r="K482" s="9" t="n">
        <v>1</v>
      </c>
      <c r="L482" s="8" t="n">
        <f aca="false">COUNTIFS($I$6:$I$728,I482,$K$6:$K$728,"&gt;"&amp;K482)+1</f>
        <v>18</v>
      </c>
      <c r="M482" s="10" t="n">
        <f aca="false">K482/SUMIFS($K$6:$K$728,$I$6:$I$728,I482)</f>
        <v>0.00613496932515337</v>
      </c>
    </row>
    <row r="483" customFormat="false" ht="15" hidden="false" customHeight="false" outlineLevel="0" collapsed="false">
      <c r="I483" s="8" t="s">
        <v>25</v>
      </c>
      <c r="J483" s="8" t="s">
        <v>544</v>
      </c>
      <c r="K483" s="9" t="n">
        <v>1</v>
      </c>
      <c r="L483" s="8" t="n">
        <f aca="false">COUNTIFS($I$6:$I$728,I483,$K$6:$K$728,"&gt;"&amp;K483)+1</f>
        <v>18</v>
      </c>
      <c r="M483" s="10" t="n">
        <f aca="false">K483/SUMIFS($K$6:$K$728,$I$6:$I$728,I483)</f>
        <v>0.00613496932515337</v>
      </c>
    </row>
    <row r="484" customFormat="false" ht="15" hidden="false" customHeight="false" outlineLevel="0" collapsed="false">
      <c r="I484" s="8" t="s">
        <v>25</v>
      </c>
      <c r="J484" s="8" t="s">
        <v>545</v>
      </c>
      <c r="K484" s="9" t="n">
        <v>1</v>
      </c>
      <c r="L484" s="8" t="n">
        <f aca="false">COUNTIFS($I$6:$I$728,I484,$K$6:$K$728,"&gt;"&amp;K484)+1</f>
        <v>18</v>
      </c>
      <c r="M484" s="10" t="n">
        <f aca="false">K484/SUMIFS($K$6:$K$728,$I$6:$I$728,I484)</f>
        <v>0.00613496932515337</v>
      </c>
    </row>
    <row r="485" customFormat="false" ht="15" hidden="false" customHeight="false" outlineLevel="0" collapsed="false">
      <c r="I485" s="8" t="s">
        <v>25</v>
      </c>
      <c r="J485" s="8" t="s">
        <v>546</v>
      </c>
      <c r="K485" s="9" t="n">
        <v>1</v>
      </c>
      <c r="L485" s="8" t="n">
        <f aca="false">COUNTIFS($I$6:$I$728,I485,$K$6:$K$728,"&gt;"&amp;K485)+1</f>
        <v>18</v>
      </c>
      <c r="M485" s="10" t="n">
        <f aca="false">K485/SUMIFS($K$6:$K$728,$I$6:$I$728,I485)</f>
        <v>0.00613496932515337</v>
      </c>
    </row>
    <row r="486" customFormat="false" ht="15" hidden="false" customHeight="false" outlineLevel="0" collapsed="false">
      <c r="I486" s="8" t="s">
        <v>25</v>
      </c>
      <c r="J486" s="8" t="s">
        <v>547</v>
      </c>
      <c r="K486" s="9" t="n">
        <v>1</v>
      </c>
      <c r="L486" s="8" t="n">
        <f aca="false">COUNTIFS($I$6:$I$728,I486,$K$6:$K$728,"&gt;"&amp;K486)+1</f>
        <v>18</v>
      </c>
      <c r="M486" s="10" t="n">
        <f aca="false">K486/SUMIFS($K$6:$K$728,$I$6:$I$728,I486)</f>
        <v>0.00613496932515337</v>
      </c>
    </row>
    <row r="487" customFormat="false" ht="15" hidden="false" customHeight="false" outlineLevel="0" collapsed="false">
      <c r="I487" s="8" t="s">
        <v>25</v>
      </c>
      <c r="J487" s="8" t="s">
        <v>548</v>
      </c>
      <c r="K487" s="9" t="n">
        <v>1</v>
      </c>
      <c r="L487" s="8" t="n">
        <f aca="false">COUNTIFS($I$6:$I$728,I487,$K$6:$K$728,"&gt;"&amp;K487)+1</f>
        <v>18</v>
      </c>
      <c r="M487" s="10" t="n">
        <f aca="false">K487/SUMIFS($K$6:$K$728,$I$6:$I$728,I487)</f>
        <v>0.00613496932515337</v>
      </c>
    </row>
    <row r="488" customFormat="false" ht="15" hidden="false" customHeight="false" outlineLevel="0" collapsed="false">
      <c r="I488" s="8" t="s">
        <v>25</v>
      </c>
      <c r="J488" s="8" t="s">
        <v>549</v>
      </c>
      <c r="K488" s="9" t="n">
        <v>1</v>
      </c>
      <c r="L488" s="8" t="n">
        <f aca="false">COUNTIFS($I$6:$I$728,I488,$K$6:$K$728,"&gt;"&amp;K488)+1</f>
        <v>18</v>
      </c>
      <c r="M488" s="10" t="n">
        <f aca="false">K488/SUMIFS($K$6:$K$728,$I$6:$I$728,I488)</f>
        <v>0.00613496932515337</v>
      </c>
    </row>
    <row r="489" customFormat="false" ht="15" hidden="false" customHeight="false" outlineLevel="0" collapsed="false">
      <c r="I489" s="8" t="s">
        <v>25</v>
      </c>
      <c r="J489" s="8" t="s">
        <v>550</v>
      </c>
      <c r="K489" s="9" t="n">
        <v>1</v>
      </c>
      <c r="L489" s="8" t="n">
        <f aca="false">COUNTIFS($I$6:$I$728,I489,$K$6:$K$728,"&gt;"&amp;K489)+1</f>
        <v>18</v>
      </c>
      <c r="M489" s="10" t="n">
        <f aca="false">K489/SUMIFS($K$6:$K$728,$I$6:$I$728,I489)</f>
        <v>0.00613496932515337</v>
      </c>
    </row>
    <row r="490" customFormat="false" ht="15" hidden="false" customHeight="false" outlineLevel="0" collapsed="false">
      <c r="I490" s="8" t="s">
        <v>25</v>
      </c>
      <c r="J490" s="8" t="s">
        <v>551</v>
      </c>
      <c r="K490" s="9" t="n">
        <v>1</v>
      </c>
      <c r="L490" s="8" t="n">
        <f aca="false">COUNTIFS($I$6:$I$728,I490,$K$6:$K$728,"&gt;"&amp;K490)+1</f>
        <v>18</v>
      </c>
      <c r="M490" s="10" t="n">
        <f aca="false">K490/SUMIFS($K$6:$K$728,$I$6:$I$728,I490)</f>
        <v>0.00613496932515337</v>
      </c>
    </row>
    <row r="491" customFormat="false" ht="15" hidden="false" customHeight="false" outlineLevel="0" collapsed="false">
      <c r="I491" s="8" t="s">
        <v>25</v>
      </c>
      <c r="J491" s="8" t="s">
        <v>552</v>
      </c>
      <c r="K491" s="9" t="n">
        <v>1</v>
      </c>
      <c r="L491" s="8" t="n">
        <f aca="false">COUNTIFS($I$6:$I$728,I491,$K$6:$K$728,"&gt;"&amp;K491)+1</f>
        <v>18</v>
      </c>
      <c r="M491" s="10" t="n">
        <f aca="false">K491/SUMIFS($K$6:$K$728,$I$6:$I$728,I491)</f>
        <v>0.00613496932515337</v>
      </c>
    </row>
    <row r="492" customFormat="false" ht="15" hidden="false" customHeight="false" outlineLevel="0" collapsed="false">
      <c r="I492" s="8" t="s">
        <v>25</v>
      </c>
      <c r="J492" s="8" t="s">
        <v>553</v>
      </c>
      <c r="K492" s="9" t="n">
        <v>1</v>
      </c>
      <c r="L492" s="8" t="n">
        <f aca="false">COUNTIFS($I$6:$I$728,I492,$K$6:$K$728,"&gt;"&amp;K492)+1</f>
        <v>18</v>
      </c>
      <c r="M492" s="10" t="n">
        <f aca="false">K492/SUMIFS($K$6:$K$728,$I$6:$I$728,I492)</f>
        <v>0.00613496932515337</v>
      </c>
    </row>
    <row r="493" customFormat="false" ht="15" hidden="false" customHeight="false" outlineLevel="0" collapsed="false">
      <c r="I493" s="8" t="s">
        <v>25</v>
      </c>
      <c r="J493" s="8" t="s">
        <v>554</v>
      </c>
      <c r="K493" s="9" t="n">
        <v>1</v>
      </c>
      <c r="L493" s="8" t="n">
        <f aca="false">COUNTIFS($I$6:$I$728,I493,$K$6:$K$728,"&gt;"&amp;K493)+1</f>
        <v>18</v>
      </c>
      <c r="M493" s="10" t="n">
        <f aca="false">K493/SUMIFS($K$6:$K$728,$I$6:$I$728,I493)</f>
        <v>0.00613496932515337</v>
      </c>
    </row>
    <row r="494" customFormat="false" ht="15" hidden="false" customHeight="false" outlineLevel="0" collapsed="false">
      <c r="I494" s="8" t="s">
        <v>25</v>
      </c>
      <c r="J494" s="8" t="s">
        <v>555</v>
      </c>
      <c r="K494" s="9" t="n">
        <v>1</v>
      </c>
      <c r="L494" s="8" t="n">
        <f aca="false">COUNTIFS($I$6:$I$728,I494,$K$6:$K$728,"&gt;"&amp;K494)+1</f>
        <v>18</v>
      </c>
      <c r="M494" s="10" t="n">
        <f aca="false">K494/SUMIFS($K$6:$K$728,$I$6:$I$728,I494)</f>
        <v>0.00613496932515337</v>
      </c>
    </row>
    <row r="495" customFormat="false" ht="15" hidden="false" customHeight="false" outlineLevel="0" collapsed="false">
      <c r="I495" s="8" t="s">
        <v>25</v>
      </c>
      <c r="J495" s="8" t="s">
        <v>556</v>
      </c>
      <c r="K495" s="9" t="n">
        <v>1</v>
      </c>
      <c r="L495" s="8" t="n">
        <f aca="false">COUNTIFS($I$6:$I$728,I495,$K$6:$K$728,"&gt;"&amp;K495)+1</f>
        <v>18</v>
      </c>
      <c r="M495" s="10" t="n">
        <f aca="false">K495/SUMIFS($K$6:$K$728,$I$6:$I$728,I495)</f>
        <v>0.00613496932515337</v>
      </c>
    </row>
    <row r="496" customFormat="false" ht="15" hidden="false" customHeight="false" outlineLevel="0" collapsed="false">
      <c r="I496" s="8" t="s">
        <v>25</v>
      </c>
      <c r="J496" s="8" t="s">
        <v>557</v>
      </c>
      <c r="K496" s="9" t="n">
        <v>1</v>
      </c>
      <c r="L496" s="8" t="n">
        <f aca="false">COUNTIFS($I$6:$I$728,I496,$K$6:$K$728,"&gt;"&amp;K496)+1</f>
        <v>18</v>
      </c>
      <c r="M496" s="10" t="n">
        <f aca="false">K496/SUMIFS($K$6:$K$728,$I$6:$I$728,I496)</f>
        <v>0.00613496932515337</v>
      </c>
    </row>
    <row r="497" customFormat="false" ht="15" hidden="false" customHeight="false" outlineLevel="0" collapsed="false">
      <c r="I497" s="8" t="s">
        <v>25</v>
      </c>
      <c r="J497" s="8" t="s">
        <v>558</v>
      </c>
      <c r="K497" s="9" t="n">
        <v>1</v>
      </c>
      <c r="L497" s="8" t="n">
        <f aca="false">COUNTIFS($I$6:$I$728,I497,$K$6:$K$728,"&gt;"&amp;K497)+1</f>
        <v>18</v>
      </c>
      <c r="M497" s="10" t="n">
        <f aca="false">K497/SUMIFS($K$6:$K$728,$I$6:$I$728,I497)</f>
        <v>0.00613496932515337</v>
      </c>
    </row>
    <row r="498" customFormat="false" ht="15" hidden="false" customHeight="false" outlineLevel="0" collapsed="false">
      <c r="I498" s="8" t="s">
        <v>25</v>
      </c>
      <c r="J498" s="8" t="s">
        <v>559</v>
      </c>
      <c r="K498" s="9" t="n">
        <v>1</v>
      </c>
      <c r="L498" s="8" t="n">
        <f aca="false">COUNTIFS($I$6:$I$728,I498,$K$6:$K$728,"&gt;"&amp;K498)+1</f>
        <v>18</v>
      </c>
      <c r="M498" s="10" t="n">
        <f aca="false">K498/SUMIFS($K$6:$K$728,$I$6:$I$728,I498)</f>
        <v>0.00613496932515337</v>
      </c>
    </row>
    <row r="499" customFormat="false" ht="15" hidden="false" customHeight="false" outlineLevel="0" collapsed="false">
      <c r="I499" s="8" t="s">
        <v>25</v>
      </c>
      <c r="J499" s="8" t="s">
        <v>560</v>
      </c>
      <c r="K499" s="9" t="n">
        <v>1</v>
      </c>
      <c r="L499" s="8" t="n">
        <f aca="false">COUNTIFS($I$6:$I$728,I499,$K$6:$K$728,"&gt;"&amp;K499)+1</f>
        <v>18</v>
      </c>
      <c r="M499" s="10" t="n">
        <f aca="false">K499/SUMIFS($K$6:$K$728,$I$6:$I$728,I499)</f>
        <v>0.00613496932515337</v>
      </c>
    </row>
    <row r="500" customFormat="false" ht="15" hidden="false" customHeight="false" outlineLevel="0" collapsed="false">
      <c r="I500" s="8" t="s">
        <v>16</v>
      </c>
      <c r="J500" s="8" t="s">
        <v>61</v>
      </c>
      <c r="K500" s="9" t="n">
        <v>143</v>
      </c>
      <c r="L500" s="8" t="n">
        <f aca="false">COUNTIFS($I$6:$I$728,I500,$K$6:$K$728,"&gt;"&amp;K500)+1</f>
        <v>1</v>
      </c>
      <c r="M500" s="10" t="n">
        <f aca="false">K500/SUMIFS($K$6:$K$728,$I$6:$I$728,I500)</f>
        <v>0.266294227188082</v>
      </c>
    </row>
    <row r="501" customFormat="false" ht="15" hidden="false" customHeight="false" outlineLevel="0" collapsed="false">
      <c r="I501" s="8" t="s">
        <v>16</v>
      </c>
      <c r="J501" s="8" t="s">
        <v>63</v>
      </c>
      <c r="K501" s="9" t="n">
        <v>42</v>
      </c>
      <c r="L501" s="8" t="n">
        <f aca="false">COUNTIFS($I$6:$I$728,I501,$K$6:$K$728,"&gt;"&amp;K501)+1</f>
        <v>2</v>
      </c>
      <c r="M501" s="10" t="n">
        <f aca="false">K501/SUMIFS($K$6:$K$728,$I$6:$I$728,I501)</f>
        <v>0.0782122905027933</v>
      </c>
    </row>
    <row r="502" customFormat="false" ht="15" hidden="false" customHeight="false" outlineLevel="0" collapsed="false">
      <c r="I502" s="8" t="s">
        <v>16</v>
      </c>
      <c r="J502" s="8" t="s">
        <v>65</v>
      </c>
      <c r="K502" s="9" t="n">
        <v>40</v>
      </c>
      <c r="L502" s="8" t="n">
        <f aca="false">COUNTIFS($I$6:$I$728,I502,$K$6:$K$728,"&gt;"&amp;K502)+1</f>
        <v>3</v>
      </c>
      <c r="M502" s="10" t="n">
        <f aca="false">K502/SUMIFS($K$6:$K$728,$I$6:$I$728,I502)</f>
        <v>0.074487895716946</v>
      </c>
    </row>
    <row r="503" customFormat="false" ht="15" hidden="false" customHeight="false" outlineLevel="0" collapsed="false">
      <c r="I503" s="8" t="s">
        <v>16</v>
      </c>
      <c r="J503" s="8" t="s">
        <v>67</v>
      </c>
      <c r="K503" s="9" t="n">
        <v>38</v>
      </c>
      <c r="L503" s="8" t="n">
        <f aca="false">COUNTIFS($I$6:$I$728,I503,$K$6:$K$728,"&gt;"&amp;K503)+1</f>
        <v>4</v>
      </c>
      <c r="M503" s="10" t="n">
        <f aca="false">K503/SUMIFS($K$6:$K$728,$I$6:$I$728,I503)</f>
        <v>0.0707635009310987</v>
      </c>
    </row>
    <row r="504" customFormat="false" ht="15" hidden="false" customHeight="false" outlineLevel="0" collapsed="false">
      <c r="I504" s="8" t="s">
        <v>16</v>
      </c>
      <c r="J504" s="8" t="s">
        <v>69</v>
      </c>
      <c r="K504" s="9" t="n">
        <v>32</v>
      </c>
      <c r="L504" s="8" t="n">
        <f aca="false">COUNTIFS($I$6:$I$728,I504,$K$6:$K$728,"&gt;"&amp;K504)+1</f>
        <v>5</v>
      </c>
      <c r="M504" s="10" t="n">
        <f aca="false">K504/SUMIFS($K$6:$K$728,$I$6:$I$728,I504)</f>
        <v>0.0595903165735568</v>
      </c>
    </row>
    <row r="505" customFormat="false" ht="15" hidden="false" customHeight="false" outlineLevel="0" collapsed="false">
      <c r="I505" s="8" t="s">
        <v>16</v>
      </c>
      <c r="J505" s="8" t="s">
        <v>71</v>
      </c>
      <c r="K505" s="9" t="n">
        <v>20</v>
      </c>
      <c r="L505" s="8" t="n">
        <f aca="false">COUNTIFS($I$6:$I$728,I505,$K$6:$K$728,"&gt;"&amp;K505)+1</f>
        <v>6</v>
      </c>
      <c r="M505" s="10" t="n">
        <f aca="false">K505/SUMIFS($K$6:$K$728,$I$6:$I$728,I505)</f>
        <v>0.037243947858473</v>
      </c>
    </row>
    <row r="506" customFormat="false" ht="15" hidden="false" customHeight="false" outlineLevel="0" collapsed="false">
      <c r="I506" s="8" t="s">
        <v>16</v>
      </c>
      <c r="J506" s="8" t="s">
        <v>73</v>
      </c>
      <c r="K506" s="9" t="n">
        <v>13</v>
      </c>
      <c r="L506" s="8" t="n">
        <f aca="false">COUNTIFS($I$6:$I$728,I506,$K$6:$K$728,"&gt;"&amp;K506)+1</f>
        <v>7</v>
      </c>
      <c r="M506" s="10" t="n">
        <f aca="false">K506/SUMIFS($K$6:$K$728,$I$6:$I$728,I506)</f>
        <v>0.0242085661080074</v>
      </c>
    </row>
    <row r="507" customFormat="false" ht="15" hidden="false" customHeight="false" outlineLevel="0" collapsed="false">
      <c r="I507" s="8" t="s">
        <v>16</v>
      </c>
      <c r="J507" s="8" t="s">
        <v>75</v>
      </c>
      <c r="K507" s="9" t="n">
        <v>13</v>
      </c>
      <c r="L507" s="8" t="n">
        <f aca="false">COUNTIFS($I$6:$I$728,I507,$K$6:$K$728,"&gt;"&amp;K507)+1</f>
        <v>7</v>
      </c>
      <c r="M507" s="10" t="n">
        <f aca="false">K507/SUMIFS($K$6:$K$728,$I$6:$I$728,I507)</f>
        <v>0.0242085661080074</v>
      </c>
    </row>
    <row r="508" customFormat="false" ht="15" hidden="false" customHeight="false" outlineLevel="0" collapsed="false">
      <c r="I508" s="8" t="s">
        <v>16</v>
      </c>
      <c r="J508" s="8" t="s">
        <v>77</v>
      </c>
      <c r="K508" s="9" t="n">
        <v>11</v>
      </c>
      <c r="L508" s="8" t="n">
        <f aca="false">COUNTIFS($I$6:$I$728,I508,$K$6:$K$728,"&gt;"&amp;K508)+1</f>
        <v>9</v>
      </c>
      <c r="M508" s="10" t="n">
        <f aca="false">K508/SUMIFS($K$6:$K$728,$I$6:$I$728,I508)</f>
        <v>0.0204841713221601</v>
      </c>
    </row>
    <row r="509" customFormat="false" ht="15" hidden="false" customHeight="false" outlineLevel="0" collapsed="false">
      <c r="I509" s="8" t="s">
        <v>16</v>
      </c>
      <c r="J509" s="8" t="s">
        <v>79</v>
      </c>
      <c r="K509" s="9" t="n">
        <v>11</v>
      </c>
      <c r="L509" s="8" t="n">
        <f aca="false">COUNTIFS($I$6:$I$728,I509,$K$6:$K$728,"&gt;"&amp;K509)+1</f>
        <v>9</v>
      </c>
      <c r="M509" s="10" t="n">
        <f aca="false">K509/SUMIFS($K$6:$K$728,$I$6:$I$728,I509)</f>
        <v>0.0204841713221601</v>
      </c>
    </row>
    <row r="510" customFormat="false" ht="15" hidden="false" customHeight="false" outlineLevel="0" collapsed="false">
      <c r="I510" s="8" t="s">
        <v>16</v>
      </c>
      <c r="J510" s="8" t="s">
        <v>561</v>
      </c>
      <c r="K510" s="9" t="n">
        <v>9</v>
      </c>
      <c r="L510" s="8" t="n">
        <f aca="false">COUNTIFS($I$6:$I$728,I510,$K$6:$K$728,"&gt;"&amp;K510)+1</f>
        <v>11</v>
      </c>
      <c r="M510" s="10" t="n">
        <f aca="false">K510/SUMIFS($K$6:$K$728,$I$6:$I$728,I510)</f>
        <v>0.0167597765363129</v>
      </c>
    </row>
    <row r="511" customFormat="false" ht="15" hidden="false" customHeight="false" outlineLevel="0" collapsed="false">
      <c r="I511" s="8" t="s">
        <v>16</v>
      </c>
      <c r="J511" s="8" t="s">
        <v>562</v>
      </c>
      <c r="K511" s="9" t="n">
        <v>8</v>
      </c>
      <c r="L511" s="8" t="n">
        <f aca="false">COUNTIFS($I$6:$I$728,I511,$K$6:$K$728,"&gt;"&amp;K511)+1</f>
        <v>12</v>
      </c>
      <c r="M511" s="10" t="n">
        <f aca="false">K511/SUMIFS($K$6:$K$728,$I$6:$I$728,I511)</f>
        <v>0.0148975791433892</v>
      </c>
    </row>
    <row r="512" customFormat="false" ht="15" hidden="false" customHeight="false" outlineLevel="0" collapsed="false">
      <c r="I512" s="8" t="s">
        <v>16</v>
      </c>
      <c r="J512" s="8" t="s">
        <v>563</v>
      </c>
      <c r="K512" s="9" t="n">
        <v>7</v>
      </c>
      <c r="L512" s="8" t="n">
        <f aca="false">COUNTIFS($I$6:$I$728,I512,$K$6:$K$728,"&gt;"&amp;K512)+1</f>
        <v>13</v>
      </c>
      <c r="M512" s="10" t="n">
        <f aca="false">K512/SUMIFS($K$6:$K$728,$I$6:$I$728,I512)</f>
        <v>0.0130353817504656</v>
      </c>
    </row>
    <row r="513" customFormat="false" ht="15" hidden="false" customHeight="false" outlineLevel="0" collapsed="false">
      <c r="I513" s="8" t="s">
        <v>16</v>
      </c>
      <c r="J513" s="8" t="s">
        <v>564</v>
      </c>
      <c r="K513" s="9" t="n">
        <v>6</v>
      </c>
      <c r="L513" s="8" t="n">
        <f aca="false">COUNTIFS($I$6:$I$728,I513,$K$6:$K$728,"&gt;"&amp;K513)+1</f>
        <v>14</v>
      </c>
      <c r="M513" s="10" t="n">
        <f aca="false">K513/SUMIFS($K$6:$K$728,$I$6:$I$728,I513)</f>
        <v>0.0111731843575419</v>
      </c>
    </row>
    <row r="514" customFormat="false" ht="15" hidden="false" customHeight="false" outlineLevel="0" collapsed="false">
      <c r="I514" s="8" t="s">
        <v>16</v>
      </c>
      <c r="J514" s="8" t="s">
        <v>565</v>
      </c>
      <c r="K514" s="9" t="n">
        <v>5</v>
      </c>
      <c r="L514" s="8" t="n">
        <f aca="false">COUNTIFS($I$6:$I$728,I514,$K$6:$K$728,"&gt;"&amp;K514)+1</f>
        <v>15</v>
      </c>
      <c r="M514" s="10" t="n">
        <f aca="false">K514/SUMIFS($K$6:$K$728,$I$6:$I$728,I514)</f>
        <v>0.00931098696461825</v>
      </c>
    </row>
    <row r="515" customFormat="false" ht="15" hidden="false" customHeight="false" outlineLevel="0" collapsed="false">
      <c r="I515" s="8" t="s">
        <v>16</v>
      </c>
      <c r="J515" s="8" t="s">
        <v>566</v>
      </c>
      <c r="K515" s="9" t="n">
        <v>5</v>
      </c>
      <c r="L515" s="8" t="n">
        <f aca="false">COUNTIFS($I$6:$I$728,I515,$K$6:$K$728,"&gt;"&amp;K515)+1</f>
        <v>15</v>
      </c>
      <c r="M515" s="10" t="n">
        <f aca="false">K515/SUMIFS($K$6:$K$728,$I$6:$I$728,I515)</f>
        <v>0.00931098696461825</v>
      </c>
    </row>
    <row r="516" customFormat="false" ht="15" hidden="false" customHeight="false" outlineLevel="0" collapsed="false">
      <c r="I516" s="8" t="s">
        <v>16</v>
      </c>
      <c r="J516" s="8" t="s">
        <v>567</v>
      </c>
      <c r="K516" s="9" t="n">
        <v>5</v>
      </c>
      <c r="L516" s="8" t="n">
        <f aca="false">COUNTIFS($I$6:$I$728,I516,$K$6:$K$728,"&gt;"&amp;K516)+1</f>
        <v>15</v>
      </c>
      <c r="M516" s="10" t="n">
        <f aca="false">K516/SUMIFS($K$6:$K$728,$I$6:$I$728,I516)</f>
        <v>0.00931098696461825</v>
      </c>
    </row>
    <row r="517" customFormat="false" ht="15" hidden="false" customHeight="false" outlineLevel="0" collapsed="false">
      <c r="I517" s="8" t="s">
        <v>16</v>
      </c>
      <c r="J517" s="8" t="s">
        <v>568</v>
      </c>
      <c r="K517" s="9" t="n">
        <v>4</v>
      </c>
      <c r="L517" s="8" t="n">
        <f aca="false">COUNTIFS($I$6:$I$728,I517,$K$6:$K$728,"&gt;"&amp;K517)+1</f>
        <v>18</v>
      </c>
      <c r="M517" s="10" t="n">
        <f aca="false">K517/SUMIFS($K$6:$K$728,$I$6:$I$728,I517)</f>
        <v>0.0074487895716946</v>
      </c>
    </row>
    <row r="518" customFormat="false" ht="15" hidden="false" customHeight="false" outlineLevel="0" collapsed="false">
      <c r="I518" s="8" t="s">
        <v>16</v>
      </c>
      <c r="J518" s="8" t="s">
        <v>569</v>
      </c>
      <c r="K518" s="9" t="n">
        <v>3</v>
      </c>
      <c r="L518" s="8" t="n">
        <f aca="false">COUNTIFS($I$6:$I$728,I518,$K$6:$K$728,"&gt;"&amp;K518)+1</f>
        <v>19</v>
      </c>
      <c r="M518" s="10" t="n">
        <f aca="false">K518/SUMIFS($K$6:$K$728,$I$6:$I$728,I518)</f>
        <v>0.00558659217877095</v>
      </c>
    </row>
    <row r="519" customFormat="false" ht="15" hidden="false" customHeight="false" outlineLevel="0" collapsed="false">
      <c r="I519" s="8" t="s">
        <v>16</v>
      </c>
      <c r="J519" s="8" t="s">
        <v>570</v>
      </c>
      <c r="K519" s="9" t="n">
        <v>3</v>
      </c>
      <c r="L519" s="8" t="n">
        <f aca="false">COUNTIFS($I$6:$I$728,I519,$K$6:$K$728,"&gt;"&amp;K519)+1</f>
        <v>19</v>
      </c>
      <c r="M519" s="10" t="n">
        <f aca="false">K519/SUMIFS($K$6:$K$728,$I$6:$I$728,I519)</f>
        <v>0.00558659217877095</v>
      </c>
    </row>
    <row r="520" customFormat="false" ht="15" hidden="false" customHeight="false" outlineLevel="0" collapsed="false">
      <c r="I520" s="8" t="s">
        <v>16</v>
      </c>
      <c r="J520" s="8" t="s">
        <v>571</v>
      </c>
      <c r="K520" s="9" t="n">
        <v>3</v>
      </c>
      <c r="L520" s="8" t="n">
        <f aca="false">COUNTIFS($I$6:$I$728,I520,$K$6:$K$728,"&gt;"&amp;K520)+1</f>
        <v>19</v>
      </c>
      <c r="M520" s="10" t="n">
        <f aca="false">K520/SUMIFS($K$6:$K$728,$I$6:$I$728,I520)</f>
        <v>0.00558659217877095</v>
      </c>
    </row>
    <row r="521" customFormat="false" ht="15" hidden="false" customHeight="false" outlineLevel="0" collapsed="false">
      <c r="I521" s="8" t="s">
        <v>16</v>
      </c>
      <c r="J521" s="8" t="s">
        <v>572</v>
      </c>
      <c r="K521" s="9" t="n">
        <v>3</v>
      </c>
      <c r="L521" s="8" t="n">
        <f aca="false">COUNTIFS($I$6:$I$728,I521,$K$6:$K$728,"&gt;"&amp;K521)+1</f>
        <v>19</v>
      </c>
      <c r="M521" s="10" t="n">
        <f aca="false">K521/SUMIFS($K$6:$K$728,$I$6:$I$728,I521)</f>
        <v>0.00558659217877095</v>
      </c>
    </row>
    <row r="522" customFormat="false" ht="15" hidden="false" customHeight="false" outlineLevel="0" collapsed="false">
      <c r="I522" s="8" t="s">
        <v>16</v>
      </c>
      <c r="J522" s="8" t="s">
        <v>573</v>
      </c>
      <c r="K522" s="9" t="n">
        <v>3</v>
      </c>
      <c r="L522" s="8" t="n">
        <f aca="false">COUNTIFS($I$6:$I$728,I522,$K$6:$K$728,"&gt;"&amp;K522)+1</f>
        <v>19</v>
      </c>
      <c r="M522" s="10" t="n">
        <f aca="false">K522/SUMIFS($K$6:$K$728,$I$6:$I$728,I522)</f>
        <v>0.00558659217877095</v>
      </c>
    </row>
    <row r="523" customFormat="false" ht="15" hidden="false" customHeight="false" outlineLevel="0" collapsed="false">
      <c r="I523" s="8" t="s">
        <v>16</v>
      </c>
      <c r="J523" s="8" t="s">
        <v>574</v>
      </c>
      <c r="K523" s="9" t="n">
        <v>3</v>
      </c>
      <c r="L523" s="8" t="n">
        <f aca="false">COUNTIFS($I$6:$I$728,I523,$K$6:$K$728,"&gt;"&amp;K523)+1</f>
        <v>19</v>
      </c>
      <c r="M523" s="10" t="n">
        <f aca="false">K523/SUMIFS($K$6:$K$728,$I$6:$I$728,I523)</f>
        <v>0.00558659217877095</v>
      </c>
    </row>
    <row r="524" customFormat="false" ht="15" hidden="false" customHeight="false" outlineLevel="0" collapsed="false">
      <c r="I524" s="8" t="s">
        <v>16</v>
      </c>
      <c r="J524" s="8" t="s">
        <v>575</v>
      </c>
      <c r="K524" s="9" t="n">
        <v>3</v>
      </c>
      <c r="L524" s="8" t="n">
        <f aca="false">COUNTIFS($I$6:$I$728,I524,$K$6:$K$728,"&gt;"&amp;K524)+1</f>
        <v>19</v>
      </c>
      <c r="M524" s="10" t="n">
        <f aca="false">K524/SUMIFS($K$6:$K$728,$I$6:$I$728,I524)</f>
        <v>0.00558659217877095</v>
      </c>
    </row>
    <row r="525" customFormat="false" ht="15" hidden="false" customHeight="false" outlineLevel="0" collapsed="false">
      <c r="I525" s="8" t="s">
        <v>16</v>
      </c>
      <c r="J525" s="8" t="s">
        <v>576</v>
      </c>
      <c r="K525" s="9" t="n">
        <v>3</v>
      </c>
      <c r="L525" s="8" t="n">
        <f aca="false">COUNTIFS($I$6:$I$728,I525,$K$6:$K$728,"&gt;"&amp;K525)+1</f>
        <v>19</v>
      </c>
      <c r="M525" s="10" t="n">
        <f aca="false">K525/SUMIFS($K$6:$K$728,$I$6:$I$728,I525)</f>
        <v>0.00558659217877095</v>
      </c>
    </row>
    <row r="526" customFormat="false" ht="15" hidden="false" customHeight="false" outlineLevel="0" collapsed="false">
      <c r="I526" s="8" t="s">
        <v>16</v>
      </c>
      <c r="J526" s="8" t="s">
        <v>577</v>
      </c>
      <c r="K526" s="9" t="n">
        <v>3</v>
      </c>
      <c r="L526" s="8" t="n">
        <f aca="false">COUNTIFS($I$6:$I$728,I526,$K$6:$K$728,"&gt;"&amp;K526)+1</f>
        <v>19</v>
      </c>
      <c r="M526" s="10" t="n">
        <f aca="false">K526/SUMIFS($K$6:$K$728,$I$6:$I$728,I526)</f>
        <v>0.00558659217877095</v>
      </c>
    </row>
    <row r="527" customFormat="false" ht="15" hidden="false" customHeight="false" outlineLevel="0" collapsed="false">
      <c r="I527" s="8" t="s">
        <v>16</v>
      </c>
      <c r="J527" s="8" t="s">
        <v>578</v>
      </c>
      <c r="K527" s="9" t="n">
        <v>3</v>
      </c>
      <c r="L527" s="8" t="n">
        <f aca="false">COUNTIFS($I$6:$I$728,I527,$K$6:$K$728,"&gt;"&amp;K527)+1</f>
        <v>19</v>
      </c>
      <c r="M527" s="10" t="n">
        <f aca="false">K527/SUMIFS($K$6:$K$728,$I$6:$I$728,I527)</f>
        <v>0.00558659217877095</v>
      </c>
    </row>
    <row r="528" customFormat="false" ht="15" hidden="false" customHeight="false" outlineLevel="0" collapsed="false">
      <c r="I528" s="8" t="s">
        <v>16</v>
      </c>
      <c r="J528" s="8" t="s">
        <v>579</v>
      </c>
      <c r="K528" s="9" t="n">
        <v>3</v>
      </c>
      <c r="L528" s="8" t="n">
        <f aca="false">COUNTIFS($I$6:$I$728,I528,$K$6:$K$728,"&gt;"&amp;K528)+1</f>
        <v>19</v>
      </c>
      <c r="M528" s="10" t="n">
        <f aca="false">K528/SUMIFS($K$6:$K$728,$I$6:$I$728,I528)</f>
        <v>0.00558659217877095</v>
      </c>
    </row>
    <row r="529" customFormat="false" ht="15" hidden="false" customHeight="false" outlineLevel="0" collapsed="false">
      <c r="I529" s="8" t="s">
        <v>16</v>
      </c>
      <c r="J529" s="8" t="s">
        <v>580</v>
      </c>
      <c r="K529" s="9" t="n">
        <v>3</v>
      </c>
      <c r="L529" s="8" t="n">
        <f aca="false">COUNTIFS($I$6:$I$728,I529,$K$6:$K$728,"&gt;"&amp;K529)+1</f>
        <v>19</v>
      </c>
      <c r="M529" s="10" t="n">
        <f aca="false">K529/SUMIFS($K$6:$K$728,$I$6:$I$728,I529)</f>
        <v>0.00558659217877095</v>
      </c>
    </row>
    <row r="530" customFormat="false" ht="15" hidden="false" customHeight="false" outlineLevel="0" collapsed="false">
      <c r="I530" s="8" t="s">
        <v>16</v>
      </c>
      <c r="J530" s="8" t="s">
        <v>581</v>
      </c>
      <c r="K530" s="9" t="n">
        <v>2</v>
      </c>
      <c r="L530" s="8" t="n">
        <f aca="false">COUNTIFS($I$6:$I$728,I530,$K$6:$K$728,"&gt;"&amp;K530)+1</f>
        <v>31</v>
      </c>
      <c r="M530" s="10" t="n">
        <f aca="false">K530/SUMIFS($K$6:$K$728,$I$6:$I$728,I530)</f>
        <v>0.0037243947858473</v>
      </c>
    </row>
    <row r="531" customFormat="false" ht="15" hidden="false" customHeight="false" outlineLevel="0" collapsed="false">
      <c r="I531" s="8" t="s">
        <v>16</v>
      </c>
      <c r="J531" s="8" t="s">
        <v>582</v>
      </c>
      <c r="K531" s="9" t="n">
        <v>2</v>
      </c>
      <c r="L531" s="8" t="n">
        <f aca="false">COUNTIFS($I$6:$I$728,I531,$K$6:$K$728,"&gt;"&amp;K531)+1</f>
        <v>31</v>
      </c>
      <c r="M531" s="10" t="n">
        <f aca="false">K531/SUMIFS($K$6:$K$728,$I$6:$I$728,I531)</f>
        <v>0.0037243947858473</v>
      </c>
    </row>
    <row r="532" customFormat="false" ht="15" hidden="false" customHeight="false" outlineLevel="0" collapsed="false">
      <c r="I532" s="8" t="s">
        <v>16</v>
      </c>
      <c r="J532" s="8" t="s">
        <v>583</v>
      </c>
      <c r="K532" s="9" t="n">
        <v>2</v>
      </c>
      <c r="L532" s="8" t="n">
        <f aca="false">COUNTIFS($I$6:$I$728,I532,$K$6:$K$728,"&gt;"&amp;K532)+1</f>
        <v>31</v>
      </c>
      <c r="M532" s="10" t="n">
        <f aca="false">K532/SUMIFS($K$6:$K$728,$I$6:$I$728,I532)</f>
        <v>0.0037243947858473</v>
      </c>
    </row>
    <row r="533" customFormat="false" ht="15" hidden="false" customHeight="false" outlineLevel="0" collapsed="false">
      <c r="I533" s="8" t="s">
        <v>16</v>
      </c>
      <c r="J533" s="8" t="s">
        <v>584</v>
      </c>
      <c r="K533" s="9" t="n">
        <v>2</v>
      </c>
      <c r="L533" s="8" t="n">
        <f aca="false">COUNTIFS($I$6:$I$728,I533,$K$6:$K$728,"&gt;"&amp;K533)+1</f>
        <v>31</v>
      </c>
      <c r="M533" s="10" t="n">
        <f aca="false">K533/SUMIFS($K$6:$K$728,$I$6:$I$728,I533)</f>
        <v>0.0037243947858473</v>
      </c>
    </row>
    <row r="534" customFormat="false" ht="15" hidden="false" customHeight="false" outlineLevel="0" collapsed="false">
      <c r="I534" s="8" t="s">
        <v>16</v>
      </c>
      <c r="J534" s="8" t="s">
        <v>585</v>
      </c>
      <c r="K534" s="9" t="n">
        <v>2</v>
      </c>
      <c r="L534" s="8" t="n">
        <f aca="false">COUNTIFS($I$6:$I$728,I534,$K$6:$K$728,"&gt;"&amp;K534)+1</f>
        <v>31</v>
      </c>
      <c r="M534" s="10" t="n">
        <f aca="false">K534/SUMIFS($K$6:$K$728,$I$6:$I$728,I534)</f>
        <v>0.0037243947858473</v>
      </c>
    </row>
    <row r="535" customFormat="false" ht="15" hidden="false" customHeight="false" outlineLevel="0" collapsed="false">
      <c r="I535" s="8" t="s">
        <v>16</v>
      </c>
      <c r="J535" s="8" t="s">
        <v>586</v>
      </c>
      <c r="K535" s="9" t="n">
        <v>2</v>
      </c>
      <c r="L535" s="8" t="n">
        <f aca="false">COUNTIFS($I$6:$I$728,I535,$K$6:$K$728,"&gt;"&amp;K535)+1</f>
        <v>31</v>
      </c>
      <c r="M535" s="10" t="n">
        <f aca="false">K535/SUMIFS($K$6:$K$728,$I$6:$I$728,I535)</f>
        <v>0.0037243947858473</v>
      </c>
    </row>
    <row r="536" customFormat="false" ht="15" hidden="false" customHeight="false" outlineLevel="0" collapsed="false">
      <c r="I536" s="8" t="s">
        <v>16</v>
      </c>
      <c r="J536" s="8" t="s">
        <v>587</v>
      </c>
      <c r="K536" s="9" t="n">
        <v>2</v>
      </c>
      <c r="L536" s="8" t="n">
        <f aca="false">COUNTIFS($I$6:$I$728,I536,$K$6:$K$728,"&gt;"&amp;K536)+1</f>
        <v>31</v>
      </c>
      <c r="M536" s="10" t="n">
        <f aca="false">K536/SUMIFS($K$6:$K$728,$I$6:$I$728,I536)</f>
        <v>0.0037243947858473</v>
      </c>
    </row>
    <row r="537" customFormat="false" ht="15" hidden="false" customHeight="false" outlineLevel="0" collapsed="false">
      <c r="I537" s="8" t="s">
        <v>16</v>
      </c>
      <c r="J537" s="8" t="s">
        <v>588</v>
      </c>
      <c r="K537" s="9" t="n">
        <v>2</v>
      </c>
      <c r="L537" s="8" t="n">
        <f aca="false">COUNTIFS($I$6:$I$728,I537,$K$6:$K$728,"&gt;"&amp;K537)+1</f>
        <v>31</v>
      </c>
      <c r="M537" s="10" t="n">
        <f aca="false">K537/SUMIFS($K$6:$K$728,$I$6:$I$728,I537)</f>
        <v>0.0037243947858473</v>
      </c>
    </row>
    <row r="538" customFormat="false" ht="15" hidden="false" customHeight="false" outlineLevel="0" collapsed="false">
      <c r="I538" s="8" t="s">
        <v>16</v>
      </c>
      <c r="J538" s="8" t="s">
        <v>589</v>
      </c>
      <c r="K538" s="9" t="n">
        <v>2</v>
      </c>
      <c r="L538" s="8" t="n">
        <f aca="false">COUNTIFS($I$6:$I$728,I538,$K$6:$K$728,"&gt;"&amp;K538)+1</f>
        <v>31</v>
      </c>
      <c r="M538" s="10" t="n">
        <f aca="false">K538/SUMIFS($K$6:$K$728,$I$6:$I$728,I538)</f>
        <v>0.0037243947858473</v>
      </c>
    </row>
    <row r="539" customFormat="false" ht="15" hidden="false" customHeight="false" outlineLevel="0" collapsed="false">
      <c r="I539" s="8" t="s">
        <v>16</v>
      </c>
      <c r="J539" s="8" t="s">
        <v>590</v>
      </c>
      <c r="K539" s="9" t="n">
        <v>2</v>
      </c>
      <c r="L539" s="8" t="n">
        <f aca="false">COUNTIFS($I$6:$I$728,I539,$K$6:$K$728,"&gt;"&amp;K539)+1</f>
        <v>31</v>
      </c>
      <c r="M539" s="10" t="n">
        <f aca="false">K539/SUMIFS($K$6:$K$728,$I$6:$I$728,I539)</f>
        <v>0.0037243947858473</v>
      </c>
    </row>
    <row r="540" customFormat="false" ht="15" hidden="false" customHeight="false" outlineLevel="0" collapsed="false">
      <c r="I540" s="8" t="s">
        <v>16</v>
      </c>
      <c r="J540" s="8" t="s">
        <v>591</v>
      </c>
      <c r="K540" s="9" t="n">
        <v>2</v>
      </c>
      <c r="L540" s="8" t="n">
        <f aca="false">COUNTIFS($I$6:$I$728,I540,$K$6:$K$728,"&gt;"&amp;K540)+1</f>
        <v>31</v>
      </c>
      <c r="M540" s="10" t="n">
        <f aca="false">K540/SUMIFS($K$6:$K$728,$I$6:$I$728,I540)</f>
        <v>0.0037243947858473</v>
      </c>
    </row>
    <row r="541" customFormat="false" ht="15" hidden="false" customHeight="false" outlineLevel="0" collapsed="false">
      <c r="I541" s="8" t="s">
        <v>16</v>
      </c>
      <c r="J541" s="8" t="s">
        <v>592</v>
      </c>
      <c r="K541" s="9" t="n">
        <v>2</v>
      </c>
      <c r="L541" s="8" t="n">
        <f aca="false">COUNTIFS($I$6:$I$728,I541,$K$6:$K$728,"&gt;"&amp;K541)+1</f>
        <v>31</v>
      </c>
      <c r="M541" s="10" t="n">
        <f aca="false">K541/SUMIFS($K$6:$K$728,$I$6:$I$728,I541)</f>
        <v>0.0037243947858473</v>
      </c>
    </row>
    <row r="542" customFormat="false" ht="15" hidden="false" customHeight="false" outlineLevel="0" collapsed="false">
      <c r="I542" s="8" t="s">
        <v>16</v>
      </c>
      <c r="J542" s="8" t="s">
        <v>593</v>
      </c>
      <c r="K542" s="9" t="n">
        <v>2</v>
      </c>
      <c r="L542" s="8" t="n">
        <f aca="false">COUNTIFS($I$6:$I$728,I542,$K$6:$K$728,"&gt;"&amp;K542)+1</f>
        <v>31</v>
      </c>
      <c r="M542" s="10" t="n">
        <f aca="false">K542/SUMIFS($K$6:$K$728,$I$6:$I$728,I542)</f>
        <v>0.0037243947858473</v>
      </c>
    </row>
    <row r="543" customFormat="false" ht="15" hidden="false" customHeight="false" outlineLevel="0" collapsed="false">
      <c r="I543" s="8" t="s">
        <v>16</v>
      </c>
      <c r="J543" s="8" t="s">
        <v>594</v>
      </c>
      <c r="K543" s="9" t="n">
        <v>2</v>
      </c>
      <c r="L543" s="8" t="n">
        <f aca="false">COUNTIFS($I$6:$I$728,I543,$K$6:$K$728,"&gt;"&amp;K543)+1</f>
        <v>31</v>
      </c>
      <c r="M543" s="10" t="n">
        <f aca="false">K543/SUMIFS($K$6:$K$728,$I$6:$I$728,I543)</f>
        <v>0.0037243947858473</v>
      </c>
    </row>
    <row r="544" customFormat="false" ht="15" hidden="false" customHeight="false" outlineLevel="0" collapsed="false">
      <c r="I544" s="8" t="s">
        <v>16</v>
      </c>
      <c r="J544" s="8" t="s">
        <v>595</v>
      </c>
      <c r="K544" s="9" t="n">
        <v>2</v>
      </c>
      <c r="L544" s="8" t="n">
        <f aca="false">COUNTIFS($I$6:$I$728,I544,$K$6:$K$728,"&gt;"&amp;K544)+1</f>
        <v>31</v>
      </c>
      <c r="M544" s="10" t="n">
        <f aca="false">K544/SUMIFS($K$6:$K$728,$I$6:$I$728,I544)</f>
        <v>0.0037243947858473</v>
      </c>
    </row>
    <row r="545" customFormat="false" ht="15" hidden="false" customHeight="false" outlineLevel="0" collapsed="false">
      <c r="I545" s="8" t="s">
        <v>16</v>
      </c>
      <c r="J545" s="8" t="s">
        <v>596</v>
      </c>
      <c r="K545" s="9" t="n">
        <v>2</v>
      </c>
      <c r="L545" s="8" t="n">
        <f aca="false">COUNTIFS($I$6:$I$728,I545,$K$6:$K$728,"&gt;"&amp;K545)+1</f>
        <v>31</v>
      </c>
      <c r="M545" s="10" t="n">
        <f aca="false">K545/SUMIFS($K$6:$K$728,$I$6:$I$728,I545)</f>
        <v>0.0037243947858473</v>
      </c>
    </row>
    <row r="546" customFormat="false" ht="15" hidden="false" customHeight="false" outlineLevel="0" collapsed="false">
      <c r="I546" s="8" t="s">
        <v>16</v>
      </c>
      <c r="J546" s="8" t="s">
        <v>597</v>
      </c>
      <c r="K546" s="9" t="n">
        <v>2</v>
      </c>
      <c r="L546" s="8" t="n">
        <f aca="false">COUNTIFS($I$6:$I$728,I546,$K$6:$K$728,"&gt;"&amp;K546)+1</f>
        <v>31</v>
      </c>
      <c r="M546" s="10" t="n">
        <f aca="false">K546/SUMIFS($K$6:$K$728,$I$6:$I$728,I546)</f>
        <v>0.0037243947858473</v>
      </c>
    </row>
    <row r="547" customFormat="false" ht="15" hidden="false" customHeight="false" outlineLevel="0" collapsed="false">
      <c r="I547" s="8" t="s">
        <v>16</v>
      </c>
      <c r="J547" s="8" t="s">
        <v>598</v>
      </c>
      <c r="K547" s="9" t="n">
        <v>2</v>
      </c>
      <c r="L547" s="8" t="n">
        <f aca="false">COUNTIFS($I$6:$I$728,I547,$K$6:$K$728,"&gt;"&amp;K547)+1</f>
        <v>31</v>
      </c>
      <c r="M547" s="10" t="n">
        <f aca="false">K547/SUMIFS($K$6:$K$728,$I$6:$I$728,I547)</f>
        <v>0.0037243947858473</v>
      </c>
    </row>
    <row r="548" customFormat="false" ht="15" hidden="false" customHeight="false" outlineLevel="0" collapsed="false">
      <c r="I548" s="8" t="s">
        <v>16</v>
      </c>
      <c r="J548" s="8" t="s">
        <v>599</v>
      </c>
      <c r="K548" s="9" t="n">
        <v>2</v>
      </c>
      <c r="L548" s="8" t="n">
        <f aca="false">COUNTIFS($I$6:$I$728,I548,$K$6:$K$728,"&gt;"&amp;K548)+1</f>
        <v>31</v>
      </c>
      <c r="M548" s="10" t="n">
        <f aca="false">K548/SUMIFS($K$6:$K$728,$I$6:$I$728,I548)</f>
        <v>0.0037243947858473</v>
      </c>
    </row>
    <row r="549" customFormat="false" ht="15" hidden="false" customHeight="false" outlineLevel="0" collapsed="false">
      <c r="I549" s="8" t="s">
        <v>16</v>
      </c>
      <c r="J549" s="8" t="s">
        <v>600</v>
      </c>
      <c r="K549" s="9" t="n">
        <v>2</v>
      </c>
      <c r="L549" s="8" t="n">
        <f aca="false">COUNTIFS($I$6:$I$728,I549,$K$6:$K$728,"&gt;"&amp;K549)+1</f>
        <v>31</v>
      </c>
      <c r="M549" s="10" t="n">
        <f aca="false">K549/SUMIFS($K$6:$K$728,$I$6:$I$728,I549)</f>
        <v>0.0037243947858473</v>
      </c>
    </row>
    <row r="550" customFormat="false" ht="15" hidden="false" customHeight="false" outlineLevel="0" collapsed="false">
      <c r="I550" s="8" t="s">
        <v>16</v>
      </c>
      <c r="J550" s="8" t="s">
        <v>601</v>
      </c>
      <c r="K550" s="9" t="n">
        <v>1</v>
      </c>
      <c r="L550" s="8" t="n">
        <f aca="false">COUNTIFS($I$6:$I$728,I550,$K$6:$K$728,"&gt;"&amp;K550)+1</f>
        <v>51</v>
      </c>
      <c r="M550" s="10" t="n">
        <f aca="false">K550/SUMIFS($K$6:$K$728,$I$6:$I$728,I550)</f>
        <v>0.00186219739292365</v>
      </c>
    </row>
    <row r="551" customFormat="false" ht="15" hidden="false" customHeight="false" outlineLevel="0" collapsed="false">
      <c r="I551" s="8" t="s">
        <v>16</v>
      </c>
      <c r="J551" s="8" t="s">
        <v>602</v>
      </c>
      <c r="K551" s="9" t="n">
        <v>1</v>
      </c>
      <c r="L551" s="8" t="n">
        <f aca="false">COUNTIFS($I$6:$I$728,I551,$K$6:$K$728,"&gt;"&amp;K551)+1</f>
        <v>51</v>
      </c>
      <c r="M551" s="10" t="n">
        <f aca="false">K551/SUMIFS($K$6:$K$728,$I$6:$I$728,I551)</f>
        <v>0.00186219739292365</v>
      </c>
    </row>
    <row r="552" customFormat="false" ht="15" hidden="false" customHeight="false" outlineLevel="0" collapsed="false">
      <c r="I552" s="8" t="s">
        <v>16</v>
      </c>
      <c r="J552" s="8" t="s">
        <v>603</v>
      </c>
      <c r="K552" s="9" t="n">
        <v>1</v>
      </c>
      <c r="L552" s="8" t="n">
        <f aca="false">COUNTIFS($I$6:$I$728,I552,$K$6:$K$728,"&gt;"&amp;K552)+1</f>
        <v>51</v>
      </c>
      <c r="M552" s="10" t="n">
        <f aca="false">K552/SUMIFS($K$6:$K$728,$I$6:$I$728,I552)</f>
        <v>0.00186219739292365</v>
      </c>
    </row>
    <row r="553" customFormat="false" ht="15" hidden="false" customHeight="false" outlineLevel="0" collapsed="false">
      <c r="I553" s="8" t="s">
        <v>16</v>
      </c>
      <c r="J553" s="8" t="s">
        <v>604</v>
      </c>
      <c r="K553" s="9" t="n">
        <v>1</v>
      </c>
      <c r="L553" s="8" t="n">
        <f aca="false">COUNTIFS($I$6:$I$728,I553,$K$6:$K$728,"&gt;"&amp;K553)+1</f>
        <v>51</v>
      </c>
      <c r="M553" s="10" t="n">
        <f aca="false">K553/SUMIFS($K$6:$K$728,$I$6:$I$728,I553)</f>
        <v>0.00186219739292365</v>
      </c>
    </row>
    <row r="554" customFormat="false" ht="15" hidden="false" customHeight="false" outlineLevel="0" collapsed="false">
      <c r="I554" s="8" t="s">
        <v>16</v>
      </c>
      <c r="J554" s="8" t="s">
        <v>471</v>
      </c>
      <c r="K554" s="9" t="n">
        <v>1</v>
      </c>
      <c r="L554" s="8" t="n">
        <f aca="false">COUNTIFS($I$6:$I$728,I554,$K$6:$K$728,"&gt;"&amp;K554)+1</f>
        <v>51</v>
      </c>
      <c r="M554" s="10" t="n">
        <f aca="false">K554/SUMIFS($K$6:$K$728,$I$6:$I$728,I554)</f>
        <v>0.00186219739292365</v>
      </c>
    </row>
    <row r="555" customFormat="false" ht="15" hidden="false" customHeight="false" outlineLevel="0" collapsed="false">
      <c r="I555" s="8" t="s">
        <v>16</v>
      </c>
      <c r="J555" s="8" t="s">
        <v>605</v>
      </c>
      <c r="K555" s="9" t="n">
        <v>1</v>
      </c>
      <c r="L555" s="8" t="n">
        <f aca="false">COUNTIFS($I$6:$I$728,I555,$K$6:$K$728,"&gt;"&amp;K555)+1</f>
        <v>51</v>
      </c>
      <c r="M555" s="10" t="n">
        <f aca="false">K555/SUMIFS($K$6:$K$728,$I$6:$I$728,I555)</f>
        <v>0.00186219739292365</v>
      </c>
    </row>
    <row r="556" customFormat="false" ht="15" hidden="false" customHeight="false" outlineLevel="0" collapsed="false">
      <c r="I556" s="8" t="s">
        <v>16</v>
      </c>
      <c r="J556" s="8" t="s">
        <v>606</v>
      </c>
      <c r="K556" s="9" t="n">
        <v>1</v>
      </c>
      <c r="L556" s="8" t="n">
        <f aca="false">COUNTIFS($I$6:$I$728,I556,$K$6:$K$728,"&gt;"&amp;K556)+1</f>
        <v>51</v>
      </c>
      <c r="M556" s="10" t="n">
        <f aca="false">K556/SUMIFS($K$6:$K$728,$I$6:$I$728,I556)</f>
        <v>0.00186219739292365</v>
      </c>
    </row>
    <row r="557" customFormat="false" ht="15" hidden="false" customHeight="false" outlineLevel="0" collapsed="false">
      <c r="I557" s="8" t="s">
        <v>16</v>
      </c>
      <c r="J557" s="8" t="s">
        <v>607</v>
      </c>
      <c r="K557" s="9" t="n">
        <v>1</v>
      </c>
      <c r="L557" s="8" t="n">
        <f aca="false">COUNTIFS($I$6:$I$728,I557,$K$6:$K$728,"&gt;"&amp;K557)+1</f>
        <v>51</v>
      </c>
      <c r="M557" s="10" t="n">
        <f aca="false">K557/SUMIFS($K$6:$K$728,$I$6:$I$728,I557)</f>
        <v>0.00186219739292365</v>
      </c>
    </row>
    <row r="558" customFormat="false" ht="15" hidden="false" customHeight="false" outlineLevel="0" collapsed="false">
      <c r="I558" s="8" t="s">
        <v>16</v>
      </c>
      <c r="J558" s="8" t="s">
        <v>608</v>
      </c>
      <c r="K558" s="9" t="n">
        <v>1</v>
      </c>
      <c r="L558" s="8" t="n">
        <f aca="false">COUNTIFS($I$6:$I$728,I558,$K$6:$K$728,"&gt;"&amp;K558)+1</f>
        <v>51</v>
      </c>
      <c r="M558" s="10" t="n">
        <f aca="false">K558/SUMIFS($K$6:$K$728,$I$6:$I$728,I558)</f>
        <v>0.00186219739292365</v>
      </c>
    </row>
    <row r="559" customFormat="false" ht="15" hidden="false" customHeight="false" outlineLevel="0" collapsed="false">
      <c r="I559" s="8" t="s">
        <v>16</v>
      </c>
      <c r="J559" s="8" t="s">
        <v>609</v>
      </c>
      <c r="K559" s="9" t="n">
        <v>1</v>
      </c>
      <c r="L559" s="8" t="n">
        <f aca="false">COUNTIFS($I$6:$I$728,I559,$K$6:$K$728,"&gt;"&amp;K559)+1</f>
        <v>51</v>
      </c>
      <c r="M559" s="10" t="n">
        <f aca="false">K559/SUMIFS($K$6:$K$728,$I$6:$I$728,I559)</f>
        <v>0.00186219739292365</v>
      </c>
    </row>
    <row r="560" customFormat="false" ht="15" hidden="false" customHeight="false" outlineLevel="0" collapsed="false">
      <c r="I560" s="8" t="s">
        <v>16</v>
      </c>
      <c r="J560" s="8" t="s">
        <v>610</v>
      </c>
      <c r="K560" s="9" t="n">
        <v>1</v>
      </c>
      <c r="L560" s="8" t="n">
        <f aca="false">COUNTIFS($I$6:$I$728,I560,$K$6:$K$728,"&gt;"&amp;K560)+1</f>
        <v>51</v>
      </c>
      <c r="M560" s="10" t="n">
        <f aca="false">K560/SUMIFS($K$6:$K$728,$I$6:$I$728,I560)</f>
        <v>0.00186219739292365</v>
      </c>
    </row>
    <row r="561" customFormat="false" ht="15" hidden="false" customHeight="false" outlineLevel="0" collapsed="false">
      <c r="I561" s="8" t="s">
        <v>16</v>
      </c>
      <c r="J561" s="8" t="s">
        <v>611</v>
      </c>
      <c r="K561" s="9" t="n">
        <v>1</v>
      </c>
      <c r="L561" s="8" t="n">
        <f aca="false">COUNTIFS($I$6:$I$728,I561,$K$6:$K$728,"&gt;"&amp;K561)+1</f>
        <v>51</v>
      </c>
      <c r="M561" s="10" t="n">
        <f aca="false">K561/SUMIFS($K$6:$K$728,$I$6:$I$728,I561)</f>
        <v>0.00186219739292365</v>
      </c>
    </row>
    <row r="562" customFormat="false" ht="15" hidden="false" customHeight="false" outlineLevel="0" collapsed="false">
      <c r="I562" s="8" t="s">
        <v>16</v>
      </c>
      <c r="J562" s="8" t="s">
        <v>612</v>
      </c>
      <c r="K562" s="9" t="n">
        <v>1</v>
      </c>
      <c r="L562" s="8" t="n">
        <f aca="false">COUNTIFS($I$6:$I$728,I562,$K$6:$K$728,"&gt;"&amp;K562)+1</f>
        <v>51</v>
      </c>
      <c r="M562" s="10" t="n">
        <f aca="false">K562/SUMIFS($K$6:$K$728,$I$6:$I$728,I562)</f>
        <v>0.00186219739292365</v>
      </c>
    </row>
    <row r="563" customFormat="false" ht="15" hidden="false" customHeight="false" outlineLevel="0" collapsed="false">
      <c r="I563" s="8" t="s">
        <v>16</v>
      </c>
      <c r="J563" s="8" t="s">
        <v>613</v>
      </c>
      <c r="K563" s="9" t="n">
        <v>1</v>
      </c>
      <c r="L563" s="8" t="n">
        <f aca="false">COUNTIFS($I$6:$I$728,I563,$K$6:$K$728,"&gt;"&amp;K563)+1</f>
        <v>51</v>
      </c>
      <c r="M563" s="10" t="n">
        <f aca="false">K563/SUMIFS($K$6:$K$728,$I$6:$I$728,I563)</f>
        <v>0.00186219739292365</v>
      </c>
    </row>
    <row r="564" customFormat="false" ht="15" hidden="false" customHeight="false" outlineLevel="0" collapsed="false">
      <c r="I564" s="8" t="s">
        <v>16</v>
      </c>
      <c r="J564" s="8" t="s">
        <v>614</v>
      </c>
      <c r="K564" s="9" t="n">
        <v>1</v>
      </c>
      <c r="L564" s="8" t="n">
        <f aca="false">COUNTIFS($I$6:$I$728,I564,$K$6:$K$728,"&gt;"&amp;K564)+1</f>
        <v>51</v>
      </c>
      <c r="M564" s="10" t="n">
        <f aca="false">K564/SUMIFS($K$6:$K$728,$I$6:$I$728,I564)</f>
        <v>0.00186219739292365</v>
      </c>
    </row>
    <row r="565" customFormat="false" ht="15" hidden="false" customHeight="false" outlineLevel="0" collapsed="false">
      <c r="I565" s="8" t="s">
        <v>16</v>
      </c>
      <c r="J565" s="8" t="s">
        <v>615</v>
      </c>
      <c r="K565" s="9" t="n">
        <v>1</v>
      </c>
      <c r="L565" s="8" t="n">
        <f aca="false">COUNTIFS($I$6:$I$728,I565,$K$6:$K$728,"&gt;"&amp;K565)+1</f>
        <v>51</v>
      </c>
      <c r="M565" s="10" t="n">
        <f aca="false">K565/SUMIFS($K$6:$K$728,$I$6:$I$728,I565)</f>
        <v>0.00186219739292365</v>
      </c>
    </row>
    <row r="566" customFormat="false" ht="15" hidden="false" customHeight="false" outlineLevel="0" collapsed="false">
      <c r="I566" s="8" t="s">
        <v>16</v>
      </c>
      <c r="J566" s="8" t="s">
        <v>616</v>
      </c>
      <c r="K566" s="9" t="n">
        <v>1</v>
      </c>
      <c r="L566" s="8" t="n">
        <f aca="false">COUNTIFS($I$6:$I$728,I566,$K$6:$K$728,"&gt;"&amp;K566)+1</f>
        <v>51</v>
      </c>
      <c r="M566" s="10" t="n">
        <f aca="false">K566/SUMIFS($K$6:$K$728,$I$6:$I$728,I566)</f>
        <v>0.00186219739292365</v>
      </c>
    </row>
    <row r="567" customFormat="false" ht="15" hidden="false" customHeight="false" outlineLevel="0" collapsed="false">
      <c r="I567" s="8" t="s">
        <v>16</v>
      </c>
      <c r="J567" s="8" t="s">
        <v>617</v>
      </c>
      <c r="K567" s="9" t="n">
        <v>1</v>
      </c>
      <c r="L567" s="8" t="n">
        <f aca="false">COUNTIFS($I$6:$I$728,I567,$K$6:$K$728,"&gt;"&amp;K567)+1</f>
        <v>51</v>
      </c>
      <c r="M567" s="10" t="n">
        <f aca="false">K567/SUMIFS($K$6:$K$728,$I$6:$I$728,I567)</f>
        <v>0.00186219739292365</v>
      </c>
    </row>
    <row r="568" customFormat="false" ht="15" hidden="false" customHeight="false" outlineLevel="0" collapsed="false">
      <c r="I568" s="8" t="s">
        <v>16</v>
      </c>
      <c r="J568" s="8" t="s">
        <v>618</v>
      </c>
      <c r="K568" s="9" t="n">
        <v>1</v>
      </c>
      <c r="L568" s="8" t="n">
        <f aca="false">COUNTIFS($I$6:$I$728,I568,$K$6:$K$728,"&gt;"&amp;K568)+1</f>
        <v>51</v>
      </c>
      <c r="M568" s="10" t="n">
        <f aca="false">K568/SUMIFS($K$6:$K$728,$I$6:$I$728,I568)</f>
        <v>0.00186219739292365</v>
      </c>
    </row>
    <row r="569" customFormat="false" ht="15" hidden="false" customHeight="false" outlineLevel="0" collapsed="false">
      <c r="I569" s="8" t="s">
        <v>16</v>
      </c>
      <c r="J569" s="8" t="s">
        <v>619</v>
      </c>
      <c r="K569" s="9" t="n">
        <v>1</v>
      </c>
      <c r="L569" s="8" t="n">
        <f aca="false">COUNTIFS($I$6:$I$728,I569,$K$6:$K$728,"&gt;"&amp;K569)+1</f>
        <v>51</v>
      </c>
      <c r="M569" s="10" t="n">
        <f aca="false">K569/SUMIFS($K$6:$K$728,$I$6:$I$728,I569)</f>
        <v>0.00186219739292365</v>
      </c>
    </row>
    <row r="570" customFormat="false" ht="15" hidden="false" customHeight="false" outlineLevel="0" collapsed="false">
      <c r="I570" s="8" t="s">
        <v>16</v>
      </c>
      <c r="J570" s="8" t="s">
        <v>620</v>
      </c>
      <c r="K570" s="9" t="n">
        <v>1</v>
      </c>
      <c r="L570" s="8" t="n">
        <f aca="false">COUNTIFS($I$6:$I$728,I570,$K$6:$K$728,"&gt;"&amp;K570)+1</f>
        <v>51</v>
      </c>
      <c r="M570" s="10" t="n">
        <f aca="false">K570/SUMIFS($K$6:$K$728,$I$6:$I$728,I570)</f>
        <v>0.00186219739292365</v>
      </c>
    </row>
    <row r="571" customFormat="false" ht="15" hidden="false" customHeight="false" outlineLevel="0" collapsed="false">
      <c r="I571" s="8" t="s">
        <v>16</v>
      </c>
      <c r="J571" s="8" t="s">
        <v>621</v>
      </c>
      <c r="K571" s="9" t="n">
        <v>1</v>
      </c>
      <c r="L571" s="8" t="n">
        <f aca="false">COUNTIFS($I$6:$I$728,I571,$K$6:$K$728,"&gt;"&amp;K571)+1</f>
        <v>51</v>
      </c>
      <c r="M571" s="10" t="n">
        <f aca="false">K571/SUMIFS($K$6:$K$728,$I$6:$I$728,I571)</f>
        <v>0.00186219739292365</v>
      </c>
    </row>
    <row r="572" customFormat="false" ht="15" hidden="false" customHeight="false" outlineLevel="0" collapsed="false">
      <c r="I572" s="8" t="s">
        <v>16</v>
      </c>
      <c r="J572" s="8" t="s">
        <v>622</v>
      </c>
      <c r="K572" s="9" t="n">
        <v>1</v>
      </c>
      <c r="L572" s="8" t="n">
        <f aca="false">COUNTIFS($I$6:$I$728,I572,$K$6:$K$728,"&gt;"&amp;K572)+1</f>
        <v>51</v>
      </c>
      <c r="M572" s="10" t="n">
        <f aca="false">K572/SUMIFS($K$6:$K$728,$I$6:$I$728,I572)</f>
        <v>0.00186219739292365</v>
      </c>
    </row>
    <row r="573" customFormat="false" ht="15" hidden="false" customHeight="false" outlineLevel="0" collapsed="false">
      <c r="I573" s="8" t="s">
        <v>16</v>
      </c>
      <c r="J573" s="8" t="s">
        <v>623</v>
      </c>
      <c r="K573" s="9" t="n">
        <v>1</v>
      </c>
      <c r="L573" s="8" t="n">
        <f aca="false">COUNTIFS($I$6:$I$728,I573,$K$6:$K$728,"&gt;"&amp;K573)+1</f>
        <v>51</v>
      </c>
      <c r="M573" s="10" t="n">
        <f aca="false">K573/SUMIFS($K$6:$K$728,$I$6:$I$728,I573)</f>
        <v>0.00186219739292365</v>
      </c>
    </row>
    <row r="574" customFormat="false" ht="15" hidden="false" customHeight="false" outlineLevel="0" collapsed="false">
      <c r="I574" s="8" t="s">
        <v>16</v>
      </c>
      <c r="J574" s="8" t="s">
        <v>624</v>
      </c>
      <c r="K574" s="9" t="n">
        <v>1</v>
      </c>
      <c r="L574" s="8" t="n">
        <f aca="false">COUNTIFS($I$6:$I$728,I574,$K$6:$K$728,"&gt;"&amp;K574)+1</f>
        <v>51</v>
      </c>
      <c r="M574" s="10" t="n">
        <f aca="false">K574/SUMIFS($K$6:$K$728,$I$6:$I$728,I574)</f>
        <v>0.00186219739292365</v>
      </c>
    </row>
    <row r="575" customFormat="false" ht="15" hidden="false" customHeight="false" outlineLevel="0" collapsed="false">
      <c r="I575" s="8" t="s">
        <v>16</v>
      </c>
      <c r="J575" s="8" t="s">
        <v>625</v>
      </c>
      <c r="K575" s="9" t="n">
        <v>1</v>
      </c>
      <c r="L575" s="8" t="n">
        <f aca="false">COUNTIFS($I$6:$I$728,I575,$K$6:$K$728,"&gt;"&amp;K575)+1</f>
        <v>51</v>
      </c>
      <c r="M575" s="10" t="n">
        <f aca="false">K575/SUMIFS($K$6:$K$728,$I$6:$I$728,I575)</f>
        <v>0.00186219739292365</v>
      </c>
    </row>
    <row r="576" customFormat="false" ht="15" hidden="false" customHeight="false" outlineLevel="0" collapsed="false">
      <c r="I576" s="8" t="s">
        <v>16</v>
      </c>
      <c r="J576" s="8" t="s">
        <v>626</v>
      </c>
      <c r="K576" s="9" t="n">
        <v>1</v>
      </c>
      <c r="L576" s="8" t="n">
        <f aca="false">COUNTIFS($I$6:$I$728,I576,$K$6:$K$728,"&gt;"&amp;K576)+1</f>
        <v>51</v>
      </c>
      <c r="M576" s="10" t="n">
        <f aca="false">K576/SUMIFS($K$6:$K$728,$I$6:$I$728,I576)</f>
        <v>0.00186219739292365</v>
      </c>
    </row>
    <row r="577" customFormat="false" ht="15" hidden="false" customHeight="false" outlineLevel="0" collapsed="false">
      <c r="I577" s="8" t="s">
        <v>16</v>
      </c>
      <c r="J577" s="8" t="s">
        <v>627</v>
      </c>
      <c r="K577" s="9" t="n">
        <v>1</v>
      </c>
      <c r="L577" s="8" t="n">
        <f aca="false">COUNTIFS($I$6:$I$728,I577,$K$6:$K$728,"&gt;"&amp;K577)+1</f>
        <v>51</v>
      </c>
      <c r="M577" s="10" t="n">
        <f aca="false">K577/SUMIFS($K$6:$K$728,$I$6:$I$728,I577)</f>
        <v>0.00186219739292365</v>
      </c>
    </row>
    <row r="578" customFormat="false" ht="15" hidden="false" customHeight="false" outlineLevel="0" collapsed="false">
      <c r="I578" s="8" t="s">
        <v>16</v>
      </c>
      <c r="J578" s="8" t="s">
        <v>628</v>
      </c>
      <c r="K578" s="9" t="n">
        <v>1</v>
      </c>
      <c r="L578" s="8" t="n">
        <f aca="false">COUNTIFS($I$6:$I$728,I578,$K$6:$K$728,"&gt;"&amp;K578)+1</f>
        <v>51</v>
      </c>
      <c r="M578" s="10" t="n">
        <f aca="false">K578/SUMIFS($K$6:$K$728,$I$6:$I$728,I578)</f>
        <v>0.00186219739292365</v>
      </c>
    </row>
    <row r="579" customFormat="false" ht="15" hidden="false" customHeight="false" outlineLevel="0" collapsed="false">
      <c r="I579" s="8" t="s">
        <v>16</v>
      </c>
      <c r="J579" s="8" t="s">
        <v>629</v>
      </c>
      <c r="K579" s="9" t="n">
        <v>1</v>
      </c>
      <c r="L579" s="8" t="n">
        <f aca="false">COUNTIFS($I$6:$I$728,I579,$K$6:$K$728,"&gt;"&amp;K579)+1</f>
        <v>51</v>
      </c>
      <c r="M579" s="10" t="n">
        <f aca="false">K579/SUMIFS($K$6:$K$728,$I$6:$I$728,I579)</f>
        <v>0.00186219739292365</v>
      </c>
    </row>
    <row r="580" customFormat="false" ht="15" hidden="false" customHeight="false" outlineLevel="0" collapsed="false">
      <c r="I580" s="8" t="s">
        <v>16</v>
      </c>
      <c r="J580" s="8" t="s">
        <v>186</v>
      </c>
      <c r="K580" s="9" t="n">
        <v>1</v>
      </c>
      <c r="L580" s="8" t="n">
        <f aca="false">COUNTIFS($I$6:$I$728,I580,$K$6:$K$728,"&gt;"&amp;K580)+1</f>
        <v>51</v>
      </c>
      <c r="M580" s="10" t="n">
        <f aca="false">K580/SUMIFS($K$6:$K$728,$I$6:$I$728,I580)</f>
        <v>0.00186219739292365</v>
      </c>
    </row>
    <row r="581" customFormat="false" ht="15" hidden="false" customHeight="false" outlineLevel="0" collapsed="false">
      <c r="I581" s="8" t="s">
        <v>16</v>
      </c>
      <c r="J581" s="8" t="s">
        <v>630</v>
      </c>
      <c r="K581" s="9" t="n">
        <v>1</v>
      </c>
      <c r="L581" s="8" t="n">
        <f aca="false">COUNTIFS($I$6:$I$728,I581,$K$6:$K$728,"&gt;"&amp;K581)+1</f>
        <v>51</v>
      </c>
      <c r="M581" s="10" t="n">
        <f aca="false">K581/SUMIFS($K$6:$K$728,$I$6:$I$728,I581)</f>
        <v>0.00186219739292365</v>
      </c>
    </row>
    <row r="582" customFormat="false" ht="15" hidden="false" customHeight="false" outlineLevel="0" collapsed="false">
      <c r="I582" s="8" t="s">
        <v>16</v>
      </c>
      <c r="J582" s="8" t="s">
        <v>631</v>
      </c>
      <c r="K582" s="9" t="n">
        <v>1</v>
      </c>
      <c r="L582" s="8" t="n">
        <f aca="false">COUNTIFS($I$6:$I$728,I582,$K$6:$K$728,"&gt;"&amp;K582)+1</f>
        <v>51</v>
      </c>
      <c r="M582" s="10" t="n">
        <f aca="false">K582/SUMIFS($K$6:$K$728,$I$6:$I$728,I582)</f>
        <v>0.00186219739292365</v>
      </c>
    </row>
    <row r="583" customFormat="false" ht="15" hidden="false" customHeight="false" outlineLevel="0" collapsed="false">
      <c r="I583" s="8" t="s">
        <v>16</v>
      </c>
      <c r="J583" s="8" t="s">
        <v>632</v>
      </c>
      <c r="K583" s="9" t="n">
        <v>1</v>
      </c>
      <c r="L583" s="8" t="n">
        <f aca="false">COUNTIFS($I$6:$I$728,I583,$K$6:$K$728,"&gt;"&amp;K583)+1</f>
        <v>51</v>
      </c>
      <c r="M583" s="10" t="n">
        <f aca="false">K583/SUMIFS($K$6:$K$728,$I$6:$I$728,I583)</f>
        <v>0.00186219739292365</v>
      </c>
    </row>
    <row r="584" customFormat="false" ht="15" hidden="false" customHeight="false" outlineLevel="0" collapsed="false">
      <c r="I584" s="8" t="s">
        <v>16</v>
      </c>
      <c r="J584" s="8" t="s">
        <v>633</v>
      </c>
      <c r="K584" s="9" t="n">
        <v>1</v>
      </c>
      <c r="L584" s="8" t="n">
        <f aca="false">COUNTIFS($I$6:$I$728,I584,$K$6:$K$728,"&gt;"&amp;K584)+1</f>
        <v>51</v>
      </c>
      <c r="M584" s="10" t="n">
        <f aca="false">K584/SUMIFS($K$6:$K$728,$I$6:$I$728,I584)</f>
        <v>0.00186219739292365</v>
      </c>
    </row>
    <row r="585" customFormat="false" ht="15" hidden="false" customHeight="false" outlineLevel="0" collapsed="false">
      <c r="I585" s="8" t="s">
        <v>16</v>
      </c>
      <c r="J585" s="8" t="s">
        <v>634</v>
      </c>
      <c r="K585" s="9" t="n">
        <v>1</v>
      </c>
      <c r="L585" s="8" t="n">
        <f aca="false">COUNTIFS($I$6:$I$728,I585,$K$6:$K$728,"&gt;"&amp;K585)+1</f>
        <v>51</v>
      </c>
      <c r="M585" s="10" t="n">
        <f aca="false">K585/SUMIFS($K$6:$K$728,$I$6:$I$728,I585)</f>
        <v>0.00186219739292365</v>
      </c>
    </row>
    <row r="586" customFormat="false" ht="15" hidden="false" customHeight="false" outlineLevel="0" collapsed="false">
      <c r="I586" s="8" t="s">
        <v>16</v>
      </c>
      <c r="J586" s="8" t="s">
        <v>635</v>
      </c>
      <c r="K586" s="9" t="n">
        <v>1</v>
      </c>
      <c r="L586" s="8" t="n">
        <f aca="false">COUNTIFS($I$6:$I$728,I586,$K$6:$K$728,"&gt;"&amp;K586)+1</f>
        <v>51</v>
      </c>
      <c r="M586" s="10" t="n">
        <f aca="false">K586/SUMIFS($K$6:$K$728,$I$6:$I$728,I586)</f>
        <v>0.00186219739292365</v>
      </c>
    </row>
    <row r="587" customFormat="false" ht="15" hidden="false" customHeight="false" outlineLevel="0" collapsed="false">
      <c r="I587" s="8" t="s">
        <v>16</v>
      </c>
      <c r="J587" s="8" t="s">
        <v>636</v>
      </c>
      <c r="K587" s="9" t="n">
        <v>1</v>
      </c>
      <c r="L587" s="8" t="n">
        <f aca="false">COUNTIFS($I$6:$I$728,I587,$K$6:$K$728,"&gt;"&amp;K587)+1</f>
        <v>51</v>
      </c>
      <c r="M587" s="10" t="n">
        <f aca="false">K587/SUMIFS($K$6:$K$728,$I$6:$I$728,I587)</f>
        <v>0.00186219739292365</v>
      </c>
    </row>
    <row r="588" customFormat="false" ht="15" hidden="false" customHeight="false" outlineLevel="0" collapsed="false">
      <c r="I588" s="8" t="s">
        <v>16</v>
      </c>
      <c r="J588" s="8" t="s">
        <v>637</v>
      </c>
      <c r="K588" s="9" t="n">
        <v>1</v>
      </c>
      <c r="L588" s="8" t="n">
        <f aca="false">COUNTIFS($I$6:$I$728,I588,$K$6:$K$728,"&gt;"&amp;K588)+1</f>
        <v>51</v>
      </c>
      <c r="M588" s="10" t="n">
        <f aca="false">K588/SUMIFS($K$6:$K$728,$I$6:$I$728,I588)</f>
        <v>0.00186219739292365</v>
      </c>
    </row>
    <row r="589" customFormat="false" ht="15" hidden="false" customHeight="false" outlineLevel="0" collapsed="false">
      <c r="I589" s="8" t="s">
        <v>16</v>
      </c>
      <c r="J589" s="8" t="s">
        <v>638</v>
      </c>
      <c r="K589" s="9" t="n">
        <v>1</v>
      </c>
      <c r="L589" s="8" t="n">
        <f aca="false">COUNTIFS($I$6:$I$728,I589,$K$6:$K$728,"&gt;"&amp;K589)+1</f>
        <v>51</v>
      </c>
      <c r="M589" s="10" t="n">
        <f aca="false">K589/SUMIFS($K$6:$K$728,$I$6:$I$728,I589)</f>
        <v>0.00186219739292365</v>
      </c>
    </row>
    <row r="590" customFormat="false" ht="15" hidden="false" customHeight="false" outlineLevel="0" collapsed="false">
      <c r="I590" s="8" t="s">
        <v>16</v>
      </c>
      <c r="J590" s="8" t="s">
        <v>514</v>
      </c>
      <c r="K590" s="9" t="n">
        <v>1</v>
      </c>
      <c r="L590" s="8" t="n">
        <f aca="false">COUNTIFS($I$6:$I$728,I590,$K$6:$K$728,"&gt;"&amp;K590)+1</f>
        <v>51</v>
      </c>
      <c r="M590" s="10" t="n">
        <f aca="false">K590/SUMIFS($K$6:$K$728,$I$6:$I$728,I590)</f>
        <v>0.00186219739292365</v>
      </c>
    </row>
    <row r="591" customFormat="false" ht="15" hidden="false" customHeight="false" outlineLevel="0" collapsed="false">
      <c r="I591" s="8" t="s">
        <v>16</v>
      </c>
      <c r="J591" s="8" t="s">
        <v>639</v>
      </c>
      <c r="K591" s="9" t="n">
        <v>1</v>
      </c>
      <c r="L591" s="8" t="n">
        <f aca="false">COUNTIFS($I$6:$I$728,I591,$K$6:$K$728,"&gt;"&amp;K591)+1</f>
        <v>51</v>
      </c>
      <c r="M591" s="10" t="n">
        <f aca="false">K591/SUMIFS($K$6:$K$728,$I$6:$I$728,I591)</f>
        <v>0.00186219739292365</v>
      </c>
    </row>
    <row r="592" customFormat="false" ht="15" hidden="false" customHeight="false" outlineLevel="0" collapsed="false">
      <c r="I592" s="8" t="s">
        <v>16</v>
      </c>
      <c r="J592" s="8" t="s">
        <v>640</v>
      </c>
      <c r="K592" s="9" t="n">
        <v>1</v>
      </c>
      <c r="L592" s="8" t="n">
        <f aca="false">COUNTIFS($I$6:$I$728,I592,$K$6:$K$728,"&gt;"&amp;K592)+1</f>
        <v>51</v>
      </c>
      <c r="M592" s="10" t="n">
        <f aca="false">K592/SUMIFS($K$6:$K$728,$I$6:$I$728,I592)</f>
        <v>0.00186219739292365</v>
      </c>
    </row>
    <row r="593" customFormat="false" ht="15" hidden="false" customHeight="false" outlineLevel="0" collapsed="false">
      <c r="I593" s="8" t="s">
        <v>16</v>
      </c>
      <c r="J593" s="8" t="s">
        <v>641</v>
      </c>
      <c r="K593" s="9" t="n">
        <v>1</v>
      </c>
      <c r="L593" s="8" t="n">
        <f aca="false">COUNTIFS($I$6:$I$728,I593,$K$6:$K$728,"&gt;"&amp;K593)+1</f>
        <v>51</v>
      </c>
      <c r="M593" s="10" t="n">
        <f aca="false">K593/SUMIFS($K$6:$K$728,$I$6:$I$728,I593)</f>
        <v>0.00186219739292365</v>
      </c>
    </row>
    <row r="594" customFormat="false" ht="15" hidden="false" customHeight="false" outlineLevel="0" collapsed="false">
      <c r="I594" s="8" t="s">
        <v>16</v>
      </c>
      <c r="J594" s="8" t="s">
        <v>642</v>
      </c>
      <c r="K594" s="9" t="n">
        <v>1</v>
      </c>
      <c r="L594" s="8" t="n">
        <f aca="false">COUNTIFS($I$6:$I$728,I594,$K$6:$K$728,"&gt;"&amp;K594)+1</f>
        <v>51</v>
      </c>
      <c r="M594" s="10" t="n">
        <f aca="false">K594/SUMIFS($K$6:$K$728,$I$6:$I$728,I594)</f>
        <v>0.00186219739292365</v>
      </c>
    </row>
    <row r="595" customFormat="false" ht="15" hidden="false" customHeight="false" outlineLevel="0" collapsed="false">
      <c r="I595" s="8" t="s">
        <v>16</v>
      </c>
      <c r="J595" s="8" t="s">
        <v>643</v>
      </c>
      <c r="K595" s="9" t="n">
        <v>1</v>
      </c>
      <c r="L595" s="8" t="n">
        <f aca="false">COUNTIFS($I$6:$I$728,I595,$K$6:$K$728,"&gt;"&amp;K595)+1</f>
        <v>51</v>
      </c>
      <c r="M595" s="10" t="n">
        <f aca="false">K595/SUMIFS($K$6:$K$728,$I$6:$I$728,I595)</f>
        <v>0.00186219739292365</v>
      </c>
    </row>
    <row r="596" customFormat="false" ht="15" hidden="false" customHeight="false" outlineLevel="0" collapsed="false">
      <c r="I596" s="8" t="s">
        <v>16</v>
      </c>
      <c r="J596" s="8" t="s">
        <v>644</v>
      </c>
      <c r="K596" s="9" t="n">
        <v>1</v>
      </c>
      <c r="L596" s="8" t="n">
        <f aca="false">COUNTIFS($I$6:$I$728,I596,$K$6:$K$728,"&gt;"&amp;K596)+1</f>
        <v>51</v>
      </c>
      <c r="M596" s="10" t="n">
        <f aca="false">K596/SUMIFS($K$6:$K$728,$I$6:$I$728,I596)</f>
        <v>0.00186219739292365</v>
      </c>
    </row>
    <row r="597" customFormat="false" ht="15" hidden="false" customHeight="false" outlineLevel="0" collapsed="false">
      <c r="I597" s="8" t="s">
        <v>16</v>
      </c>
      <c r="J597" s="8" t="s">
        <v>645</v>
      </c>
      <c r="K597" s="9" t="n">
        <v>1</v>
      </c>
      <c r="L597" s="8" t="n">
        <f aca="false">COUNTIFS($I$6:$I$728,I597,$K$6:$K$728,"&gt;"&amp;K597)+1</f>
        <v>51</v>
      </c>
      <c r="M597" s="10" t="n">
        <f aca="false">K597/SUMIFS($K$6:$K$728,$I$6:$I$728,I597)</f>
        <v>0.00186219739292365</v>
      </c>
    </row>
    <row r="598" customFormat="false" ht="15" hidden="false" customHeight="false" outlineLevel="0" collapsed="false">
      <c r="I598" s="8" t="s">
        <v>16</v>
      </c>
      <c r="J598" s="8" t="s">
        <v>646</v>
      </c>
      <c r="K598" s="9" t="n">
        <v>1</v>
      </c>
      <c r="L598" s="8" t="n">
        <f aca="false">COUNTIFS($I$6:$I$728,I598,$K$6:$K$728,"&gt;"&amp;K598)+1</f>
        <v>51</v>
      </c>
      <c r="M598" s="10" t="n">
        <f aca="false">K598/SUMIFS($K$6:$K$728,$I$6:$I$728,I598)</f>
        <v>0.00186219739292365</v>
      </c>
    </row>
    <row r="599" customFormat="false" ht="15" hidden="false" customHeight="false" outlineLevel="0" collapsed="false">
      <c r="I599" s="8" t="s">
        <v>23</v>
      </c>
      <c r="J599" s="8" t="s">
        <v>123</v>
      </c>
      <c r="K599" s="9" t="n">
        <v>62</v>
      </c>
      <c r="L599" s="8" t="n">
        <f aca="false">COUNTIFS($I$6:$I$728,I599,$K$6:$K$728,"&gt;"&amp;K599)+1</f>
        <v>1</v>
      </c>
      <c r="M599" s="10" t="n">
        <f aca="false">K599/SUMIFS($K$6:$K$728,$I$6:$I$728,I599)</f>
        <v>0.358381502890173</v>
      </c>
    </row>
    <row r="600" customFormat="false" ht="15" hidden="false" customHeight="false" outlineLevel="0" collapsed="false">
      <c r="I600" s="8" t="s">
        <v>23</v>
      </c>
      <c r="J600" s="8" t="s">
        <v>124</v>
      </c>
      <c r="K600" s="9" t="n">
        <v>12</v>
      </c>
      <c r="L600" s="8" t="n">
        <f aca="false">COUNTIFS($I$6:$I$728,I600,$K$6:$K$728,"&gt;"&amp;K600)+1</f>
        <v>2</v>
      </c>
      <c r="M600" s="10" t="n">
        <f aca="false">K600/SUMIFS($K$6:$K$728,$I$6:$I$728,I600)</f>
        <v>0.069364161849711</v>
      </c>
    </row>
    <row r="601" customFormat="false" ht="15" hidden="false" customHeight="false" outlineLevel="0" collapsed="false">
      <c r="I601" s="8" t="s">
        <v>23</v>
      </c>
      <c r="J601" s="8" t="s">
        <v>126</v>
      </c>
      <c r="K601" s="9" t="n">
        <v>6</v>
      </c>
      <c r="L601" s="8" t="n">
        <f aca="false">COUNTIFS($I$6:$I$728,I601,$K$6:$K$728,"&gt;"&amp;K601)+1</f>
        <v>3</v>
      </c>
      <c r="M601" s="10" t="n">
        <f aca="false">K601/SUMIFS($K$6:$K$728,$I$6:$I$728,I601)</f>
        <v>0.0346820809248555</v>
      </c>
    </row>
    <row r="602" customFormat="false" ht="15" hidden="false" customHeight="false" outlineLevel="0" collapsed="false">
      <c r="I602" s="8" t="s">
        <v>23</v>
      </c>
      <c r="J602" s="8" t="s">
        <v>128</v>
      </c>
      <c r="K602" s="9" t="n">
        <v>6</v>
      </c>
      <c r="L602" s="8" t="n">
        <f aca="false">COUNTIFS($I$6:$I$728,I602,$K$6:$K$728,"&gt;"&amp;K602)+1</f>
        <v>3</v>
      </c>
      <c r="M602" s="10" t="n">
        <f aca="false">K602/SUMIFS($K$6:$K$728,$I$6:$I$728,I602)</f>
        <v>0.0346820809248555</v>
      </c>
    </row>
    <row r="603" customFormat="false" ht="15" hidden="false" customHeight="false" outlineLevel="0" collapsed="false">
      <c r="I603" s="8" t="s">
        <v>23</v>
      </c>
      <c r="J603" s="8" t="s">
        <v>130</v>
      </c>
      <c r="K603" s="9" t="n">
        <v>5</v>
      </c>
      <c r="L603" s="8" t="n">
        <f aca="false">COUNTIFS($I$6:$I$728,I603,$K$6:$K$728,"&gt;"&amp;K603)+1</f>
        <v>5</v>
      </c>
      <c r="M603" s="10" t="n">
        <f aca="false">K603/SUMIFS($K$6:$K$728,$I$6:$I$728,I603)</f>
        <v>0.0289017341040462</v>
      </c>
    </row>
    <row r="604" customFormat="false" ht="15" hidden="false" customHeight="false" outlineLevel="0" collapsed="false">
      <c r="I604" s="8" t="s">
        <v>23</v>
      </c>
      <c r="J604" s="8" t="s">
        <v>132</v>
      </c>
      <c r="K604" s="9" t="n">
        <v>5</v>
      </c>
      <c r="L604" s="8" t="n">
        <f aca="false">COUNTIFS($I$6:$I$728,I604,$K$6:$K$728,"&gt;"&amp;K604)+1</f>
        <v>5</v>
      </c>
      <c r="M604" s="10" t="n">
        <f aca="false">K604/SUMIFS($K$6:$K$728,$I$6:$I$728,I604)</f>
        <v>0.0289017341040462</v>
      </c>
    </row>
    <row r="605" customFormat="false" ht="15" hidden="false" customHeight="false" outlineLevel="0" collapsed="false">
      <c r="I605" s="8" t="s">
        <v>23</v>
      </c>
      <c r="J605" s="8" t="s">
        <v>134</v>
      </c>
      <c r="K605" s="9" t="n">
        <v>4</v>
      </c>
      <c r="L605" s="8" t="n">
        <f aca="false">COUNTIFS($I$6:$I$728,I605,$K$6:$K$728,"&gt;"&amp;K605)+1</f>
        <v>7</v>
      </c>
      <c r="M605" s="10" t="n">
        <f aca="false">K605/SUMIFS($K$6:$K$728,$I$6:$I$728,I605)</f>
        <v>0.023121387283237</v>
      </c>
    </row>
    <row r="606" customFormat="false" ht="15" hidden="false" customHeight="false" outlineLevel="0" collapsed="false">
      <c r="I606" s="8" t="s">
        <v>23</v>
      </c>
      <c r="J606" s="8" t="s">
        <v>136</v>
      </c>
      <c r="K606" s="9" t="n">
        <v>4</v>
      </c>
      <c r="L606" s="8" t="n">
        <f aca="false">COUNTIFS($I$6:$I$728,I606,$K$6:$K$728,"&gt;"&amp;K606)+1</f>
        <v>7</v>
      </c>
      <c r="M606" s="10" t="n">
        <f aca="false">K606/SUMIFS($K$6:$K$728,$I$6:$I$728,I606)</f>
        <v>0.023121387283237</v>
      </c>
    </row>
    <row r="607" customFormat="false" ht="15" hidden="false" customHeight="false" outlineLevel="0" collapsed="false">
      <c r="I607" s="8" t="s">
        <v>23</v>
      </c>
      <c r="J607" s="8" t="s">
        <v>138</v>
      </c>
      <c r="K607" s="9" t="n">
        <v>4</v>
      </c>
      <c r="L607" s="8" t="n">
        <f aca="false">COUNTIFS($I$6:$I$728,I607,$K$6:$K$728,"&gt;"&amp;K607)+1</f>
        <v>7</v>
      </c>
      <c r="M607" s="10" t="n">
        <f aca="false">K607/SUMIFS($K$6:$K$728,$I$6:$I$728,I607)</f>
        <v>0.023121387283237</v>
      </c>
    </row>
    <row r="608" customFormat="false" ht="15" hidden="false" customHeight="false" outlineLevel="0" collapsed="false">
      <c r="I608" s="8" t="s">
        <v>23</v>
      </c>
      <c r="J608" s="8" t="s">
        <v>140</v>
      </c>
      <c r="K608" s="9" t="n">
        <v>3</v>
      </c>
      <c r="L608" s="8" t="n">
        <f aca="false">COUNTIFS($I$6:$I$728,I608,$K$6:$K$728,"&gt;"&amp;K608)+1</f>
        <v>10</v>
      </c>
      <c r="M608" s="10" t="n">
        <f aca="false">K608/SUMIFS($K$6:$K$728,$I$6:$I$728,I608)</f>
        <v>0.0173410404624277</v>
      </c>
    </row>
    <row r="609" customFormat="false" ht="15" hidden="false" customHeight="false" outlineLevel="0" collapsed="false">
      <c r="I609" s="8" t="s">
        <v>23</v>
      </c>
      <c r="J609" s="8" t="s">
        <v>647</v>
      </c>
      <c r="K609" s="9" t="n">
        <v>3</v>
      </c>
      <c r="L609" s="8" t="n">
        <f aca="false">COUNTIFS($I$6:$I$728,I609,$K$6:$K$728,"&gt;"&amp;K609)+1</f>
        <v>10</v>
      </c>
      <c r="M609" s="10" t="n">
        <f aca="false">K609/SUMIFS($K$6:$K$728,$I$6:$I$728,I609)</f>
        <v>0.0173410404624277</v>
      </c>
    </row>
    <row r="610" customFormat="false" ht="15" hidden="false" customHeight="false" outlineLevel="0" collapsed="false">
      <c r="I610" s="8" t="s">
        <v>23</v>
      </c>
      <c r="J610" s="8" t="s">
        <v>648</v>
      </c>
      <c r="K610" s="9" t="n">
        <v>2</v>
      </c>
      <c r="L610" s="8" t="n">
        <f aca="false">COUNTIFS($I$6:$I$728,I610,$K$6:$K$728,"&gt;"&amp;K610)+1</f>
        <v>12</v>
      </c>
      <c r="M610" s="10" t="n">
        <f aca="false">K610/SUMIFS($K$6:$K$728,$I$6:$I$728,I610)</f>
        <v>0.0115606936416185</v>
      </c>
    </row>
    <row r="611" customFormat="false" ht="15" hidden="false" customHeight="false" outlineLevel="0" collapsed="false">
      <c r="I611" s="8" t="s">
        <v>23</v>
      </c>
      <c r="J611" s="8" t="s">
        <v>649</v>
      </c>
      <c r="K611" s="9" t="n">
        <v>2</v>
      </c>
      <c r="L611" s="8" t="n">
        <f aca="false">COUNTIFS($I$6:$I$728,I611,$K$6:$K$728,"&gt;"&amp;K611)+1</f>
        <v>12</v>
      </c>
      <c r="M611" s="10" t="n">
        <f aca="false">K611/SUMIFS($K$6:$K$728,$I$6:$I$728,I611)</f>
        <v>0.0115606936416185</v>
      </c>
    </row>
    <row r="612" customFormat="false" ht="15" hidden="false" customHeight="false" outlineLevel="0" collapsed="false">
      <c r="I612" s="8" t="s">
        <v>23</v>
      </c>
      <c r="J612" s="8" t="s">
        <v>650</v>
      </c>
      <c r="K612" s="9" t="n">
        <v>2</v>
      </c>
      <c r="L612" s="8" t="n">
        <f aca="false">COUNTIFS($I$6:$I$728,I612,$K$6:$K$728,"&gt;"&amp;K612)+1</f>
        <v>12</v>
      </c>
      <c r="M612" s="10" t="n">
        <f aca="false">K612/SUMIFS($K$6:$K$728,$I$6:$I$728,I612)</f>
        <v>0.0115606936416185</v>
      </c>
    </row>
    <row r="613" customFormat="false" ht="15" hidden="false" customHeight="false" outlineLevel="0" collapsed="false">
      <c r="I613" s="8" t="s">
        <v>23</v>
      </c>
      <c r="J613" s="8" t="s">
        <v>651</v>
      </c>
      <c r="K613" s="9" t="n">
        <v>2</v>
      </c>
      <c r="L613" s="8" t="n">
        <f aca="false">COUNTIFS($I$6:$I$728,I613,$K$6:$K$728,"&gt;"&amp;K613)+1</f>
        <v>12</v>
      </c>
      <c r="M613" s="10" t="n">
        <f aca="false">K613/SUMIFS($K$6:$K$728,$I$6:$I$728,I613)</f>
        <v>0.0115606936416185</v>
      </c>
    </row>
    <row r="614" customFormat="false" ht="15" hidden="false" customHeight="false" outlineLevel="0" collapsed="false">
      <c r="I614" s="8" t="s">
        <v>23</v>
      </c>
      <c r="J614" s="8" t="s">
        <v>652</v>
      </c>
      <c r="K614" s="9" t="n">
        <v>2</v>
      </c>
      <c r="L614" s="8" t="n">
        <f aca="false">COUNTIFS($I$6:$I$728,I614,$K$6:$K$728,"&gt;"&amp;K614)+1</f>
        <v>12</v>
      </c>
      <c r="M614" s="10" t="n">
        <f aca="false">K614/SUMIFS($K$6:$K$728,$I$6:$I$728,I614)</f>
        <v>0.0115606936416185</v>
      </c>
    </row>
    <row r="615" customFormat="false" ht="15" hidden="false" customHeight="false" outlineLevel="0" collapsed="false">
      <c r="I615" s="8" t="s">
        <v>23</v>
      </c>
      <c r="J615" s="8" t="s">
        <v>653</v>
      </c>
      <c r="K615" s="9" t="n">
        <v>2</v>
      </c>
      <c r="L615" s="8" t="n">
        <f aca="false">COUNTIFS($I$6:$I$728,I615,$K$6:$K$728,"&gt;"&amp;K615)+1</f>
        <v>12</v>
      </c>
      <c r="M615" s="10" t="n">
        <f aca="false">K615/SUMIFS($K$6:$K$728,$I$6:$I$728,I615)</f>
        <v>0.0115606936416185</v>
      </c>
    </row>
    <row r="616" customFormat="false" ht="15" hidden="false" customHeight="false" outlineLevel="0" collapsed="false">
      <c r="I616" s="8" t="s">
        <v>23</v>
      </c>
      <c r="J616" s="8" t="s">
        <v>654</v>
      </c>
      <c r="K616" s="9" t="n">
        <v>2</v>
      </c>
      <c r="L616" s="8" t="n">
        <f aca="false">COUNTIFS($I$6:$I$728,I616,$K$6:$K$728,"&gt;"&amp;K616)+1</f>
        <v>12</v>
      </c>
      <c r="M616" s="10" t="n">
        <f aca="false">K616/SUMIFS($K$6:$K$728,$I$6:$I$728,I616)</f>
        <v>0.0115606936416185</v>
      </c>
    </row>
    <row r="617" customFormat="false" ht="15" hidden="false" customHeight="false" outlineLevel="0" collapsed="false">
      <c r="I617" s="8" t="s">
        <v>23</v>
      </c>
      <c r="J617" s="8" t="s">
        <v>655</v>
      </c>
      <c r="K617" s="9" t="n">
        <v>2</v>
      </c>
      <c r="L617" s="8" t="n">
        <f aca="false">COUNTIFS($I$6:$I$728,I617,$K$6:$K$728,"&gt;"&amp;K617)+1</f>
        <v>12</v>
      </c>
      <c r="M617" s="10" t="n">
        <f aca="false">K617/SUMIFS($K$6:$K$728,$I$6:$I$728,I617)</f>
        <v>0.0115606936416185</v>
      </c>
    </row>
    <row r="618" customFormat="false" ht="15" hidden="false" customHeight="false" outlineLevel="0" collapsed="false">
      <c r="I618" s="8" t="s">
        <v>23</v>
      </c>
      <c r="J618" s="8" t="s">
        <v>656</v>
      </c>
      <c r="K618" s="9" t="n">
        <v>2</v>
      </c>
      <c r="L618" s="8" t="n">
        <f aca="false">COUNTIFS($I$6:$I$728,I618,$K$6:$K$728,"&gt;"&amp;K618)+1</f>
        <v>12</v>
      </c>
      <c r="M618" s="10" t="n">
        <f aca="false">K618/SUMIFS($K$6:$K$728,$I$6:$I$728,I618)</f>
        <v>0.0115606936416185</v>
      </c>
    </row>
    <row r="619" customFormat="false" ht="15" hidden="false" customHeight="false" outlineLevel="0" collapsed="false">
      <c r="I619" s="8" t="s">
        <v>23</v>
      </c>
      <c r="J619" s="8" t="s">
        <v>657</v>
      </c>
      <c r="K619" s="9" t="n">
        <v>2</v>
      </c>
      <c r="L619" s="8" t="n">
        <f aca="false">COUNTIFS($I$6:$I$728,I619,$K$6:$K$728,"&gt;"&amp;K619)+1</f>
        <v>12</v>
      </c>
      <c r="M619" s="10" t="n">
        <f aca="false">K619/SUMIFS($K$6:$K$728,$I$6:$I$728,I619)</f>
        <v>0.0115606936416185</v>
      </c>
    </row>
    <row r="620" customFormat="false" ht="15" hidden="false" customHeight="false" outlineLevel="0" collapsed="false">
      <c r="I620" s="8" t="s">
        <v>23</v>
      </c>
      <c r="J620" s="8" t="s">
        <v>658</v>
      </c>
      <c r="K620" s="9" t="n">
        <v>2</v>
      </c>
      <c r="L620" s="8" t="n">
        <f aca="false">COUNTIFS($I$6:$I$728,I620,$K$6:$K$728,"&gt;"&amp;K620)+1</f>
        <v>12</v>
      </c>
      <c r="M620" s="10" t="n">
        <f aca="false">K620/SUMIFS($K$6:$K$728,$I$6:$I$728,I620)</f>
        <v>0.0115606936416185</v>
      </c>
    </row>
    <row r="621" customFormat="false" ht="15" hidden="false" customHeight="false" outlineLevel="0" collapsed="false">
      <c r="I621" s="8" t="s">
        <v>23</v>
      </c>
      <c r="J621" s="8" t="s">
        <v>659</v>
      </c>
      <c r="K621" s="9" t="n">
        <v>1</v>
      </c>
      <c r="L621" s="8" t="n">
        <f aca="false">COUNTIFS($I$6:$I$728,I621,$K$6:$K$728,"&gt;"&amp;K621)+1</f>
        <v>23</v>
      </c>
      <c r="M621" s="10" t="n">
        <f aca="false">K621/SUMIFS($K$6:$K$728,$I$6:$I$728,I621)</f>
        <v>0.00578034682080925</v>
      </c>
    </row>
    <row r="622" customFormat="false" ht="15" hidden="false" customHeight="false" outlineLevel="0" collapsed="false">
      <c r="I622" s="8" t="s">
        <v>23</v>
      </c>
      <c r="J622" s="8" t="s">
        <v>660</v>
      </c>
      <c r="K622" s="9" t="n">
        <v>1</v>
      </c>
      <c r="L622" s="8" t="n">
        <f aca="false">COUNTIFS($I$6:$I$728,I622,$K$6:$K$728,"&gt;"&amp;K622)+1</f>
        <v>23</v>
      </c>
      <c r="M622" s="10" t="n">
        <f aca="false">K622/SUMIFS($K$6:$K$728,$I$6:$I$728,I622)</f>
        <v>0.00578034682080925</v>
      </c>
    </row>
    <row r="623" customFormat="false" ht="15" hidden="false" customHeight="false" outlineLevel="0" collapsed="false">
      <c r="I623" s="8" t="s">
        <v>23</v>
      </c>
      <c r="J623" s="8" t="s">
        <v>661</v>
      </c>
      <c r="K623" s="9" t="n">
        <v>1</v>
      </c>
      <c r="L623" s="8" t="n">
        <f aca="false">COUNTIFS($I$6:$I$728,I623,$K$6:$K$728,"&gt;"&amp;K623)+1</f>
        <v>23</v>
      </c>
      <c r="M623" s="10" t="n">
        <f aca="false">K623/SUMIFS($K$6:$K$728,$I$6:$I$728,I623)</f>
        <v>0.00578034682080925</v>
      </c>
    </row>
    <row r="624" customFormat="false" ht="15" hidden="false" customHeight="false" outlineLevel="0" collapsed="false">
      <c r="I624" s="8" t="s">
        <v>23</v>
      </c>
      <c r="J624" s="8" t="s">
        <v>662</v>
      </c>
      <c r="K624" s="9" t="n">
        <v>1</v>
      </c>
      <c r="L624" s="8" t="n">
        <f aca="false">COUNTIFS($I$6:$I$728,I624,$K$6:$K$728,"&gt;"&amp;K624)+1</f>
        <v>23</v>
      </c>
      <c r="M624" s="10" t="n">
        <f aca="false">K624/SUMIFS($K$6:$K$728,$I$6:$I$728,I624)</f>
        <v>0.00578034682080925</v>
      </c>
    </row>
    <row r="625" customFormat="false" ht="15" hidden="false" customHeight="false" outlineLevel="0" collapsed="false">
      <c r="I625" s="8" t="s">
        <v>23</v>
      </c>
      <c r="J625" s="8" t="s">
        <v>663</v>
      </c>
      <c r="K625" s="9" t="n">
        <v>1</v>
      </c>
      <c r="L625" s="8" t="n">
        <f aca="false">COUNTIFS($I$6:$I$728,I625,$K$6:$K$728,"&gt;"&amp;K625)+1</f>
        <v>23</v>
      </c>
      <c r="M625" s="10" t="n">
        <f aca="false">K625/SUMIFS($K$6:$K$728,$I$6:$I$728,I625)</f>
        <v>0.00578034682080925</v>
      </c>
    </row>
    <row r="626" customFormat="false" ht="15" hidden="false" customHeight="false" outlineLevel="0" collapsed="false">
      <c r="I626" s="8" t="s">
        <v>23</v>
      </c>
      <c r="J626" s="8" t="s">
        <v>664</v>
      </c>
      <c r="K626" s="9" t="n">
        <v>1</v>
      </c>
      <c r="L626" s="8" t="n">
        <f aca="false">COUNTIFS($I$6:$I$728,I626,$K$6:$K$728,"&gt;"&amp;K626)+1</f>
        <v>23</v>
      </c>
      <c r="M626" s="10" t="n">
        <f aca="false">K626/SUMIFS($K$6:$K$728,$I$6:$I$728,I626)</f>
        <v>0.00578034682080925</v>
      </c>
    </row>
    <row r="627" customFormat="false" ht="15" hidden="false" customHeight="false" outlineLevel="0" collapsed="false">
      <c r="I627" s="8" t="s">
        <v>23</v>
      </c>
      <c r="J627" s="8" t="s">
        <v>665</v>
      </c>
      <c r="K627" s="9" t="n">
        <v>1</v>
      </c>
      <c r="L627" s="8" t="n">
        <f aca="false">COUNTIFS($I$6:$I$728,I627,$K$6:$K$728,"&gt;"&amp;K627)+1</f>
        <v>23</v>
      </c>
      <c r="M627" s="10" t="n">
        <f aca="false">K627/SUMIFS($K$6:$K$728,$I$6:$I$728,I627)</f>
        <v>0.00578034682080925</v>
      </c>
    </row>
    <row r="628" customFormat="false" ht="15" hidden="false" customHeight="false" outlineLevel="0" collapsed="false">
      <c r="I628" s="8" t="s">
        <v>23</v>
      </c>
      <c r="J628" s="8" t="s">
        <v>666</v>
      </c>
      <c r="K628" s="9" t="n">
        <v>1</v>
      </c>
      <c r="L628" s="8" t="n">
        <f aca="false">COUNTIFS($I$6:$I$728,I628,$K$6:$K$728,"&gt;"&amp;K628)+1</f>
        <v>23</v>
      </c>
      <c r="M628" s="10" t="n">
        <f aca="false">K628/SUMIFS($K$6:$K$728,$I$6:$I$728,I628)</f>
        <v>0.00578034682080925</v>
      </c>
    </row>
    <row r="629" customFormat="false" ht="15" hidden="false" customHeight="false" outlineLevel="0" collapsed="false">
      <c r="I629" s="8" t="s">
        <v>23</v>
      </c>
      <c r="J629" s="8" t="s">
        <v>667</v>
      </c>
      <c r="K629" s="9" t="n">
        <v>1</v>
      </c>
      <c r="L629" s="8" t="n">
        <f aca="false">COUNTIFS($I$6:$I$728,I629,$K$6:$K$728,"&gt;"&amp;K629)+1</f>
        <v>23</v>
      </c>
      <c r="M629" s="10" t="n">
        <f aca="false">K629/SUMIFS($K$6:$K$728,$I$6:$I$728,I629)</f>
        <v>0.00578034682080925</v>
      </c>
    </row>
    <row r="630" customFormat="false" ht="15" hidden="false" customHeight="false" outlineLevel="0" collapsed="false">
      <c r="I630" s="8" t="s">
        <v>23</v>
      </c>
      <c r="J630" s="8" t="s">
        <v>668</v>
      </c>
      <c r="K630" s="9" t="n">
        <v>1</v>
      </c>
      <c r="L630" s="8" t="n">
        <f aca="false">COUNTIFS($I$6:$I$728,I630,$K$6:$K$728,"&gt;"&amp;K630)+1</f>
        <v>23</v>
      </c>
      <c r="M630" s="10" t="n">
        <f aca="false">K630/SUMIFS($K$6:$K$728,$I$6:$I$728,I630)</f>
        <v>0.00578034682080925</v>
      </c>
    </row>
    <row r="631" customFormat="false" ht="15" hidden="false" customHeight="false" outlineLevel="0" collapsed="false">
      <c r="I631" s="8" t="s">
        <v>23</v>
      </c>
      <c r="J631" s="8" t="s">
        <v>669</v>
      </c>
      <c r="K631" s="9" t="n">
        <v>1</v>
      </c>
      <c r="L631" s="8" t="n">
        <f aca="false">COUNTIFS($I$6:$I$728,I631,$K$6:$K$728,"&gt;"&amp;K631)+1</f>
        <v>23</v>
      </c>
      <c r="M631" s="10" t="n">
        <f aca="false">K631/SUMIFS($K$6:$K$728,$I$6:$I$728,I631)</f>
        <v>0.00578034682080925</v>
      </c>
    </row>
    <row r="632" customFormat="false" ht="15" hidden="false" customHeight="false" outlineLevel="0" collapsed="false">
      <c r="I632" s="8" t="s">
        <v>23</v>
      </c>
      <c r="J632" s="8" t="s">
        <v>670</v>
      </c>
      <c r="K632" s="9" t="n">
        <v>1</v>
      </c>
      <c r="L632" s="8" t="n">
        <f aca="false">COUNTIFS($I$6:$I$728,I632,$K$6:$K$728,"&gt;"&amp;K632)+1</f>
        <v>23</v>
      </c>
      <c r="M632" s="10" t="n">
        <f aca="false">K632/SUMIFS($K$6:$K$728,$I$6:$I$728,I632)</f>
        <v>0.00578034682080925</v>
      </c>
    </row>
    <row r="633" customFormat="false" ht="15" hidden="false" customHeight="false" outlineLevel="0" collapsed="false">
      <c r="I633" s="8" t="s">
        <v>23</v>
      </c>
      <c r="J633" s="8" t="s">
        <v>671</v>
      </c>
      <c r="K633" s="9" t="n">
        <v>1</v>
      </c>
      <c r="L633" s="8" t="n">
        <f aca="false">COUNTIFS($I$6:$I$728,I633,$K$6:$K$728,"&gt;"&amp;K633)+1</f>
        <v>23</v>
      </c>
      <c r="M633" s="10" t="n">
        <f aca="false">K633/SUMIFS($K$6:$K$728,$I$6:$I$728,I633)</f>
        <v>0.00578034682080925</v>
      </c>
    </row>
    <row r="634" customFormat="false" ht="15" hidden="false" customHeight="false" outlineLevel="0" collapsed="false">
      <c r="I634" s="8" t="s">
        <v>23</v>
      </c>
      <c r="J634" s="8" t="s">
        <v>672</v>
      </c>
      <c r="K634" s="9" t="n">
        <v>1</v>
      </c>
      <c r="L634" s="8" t="n">
        <f aca="false">COUNTIFS($I$6:$I$728,I634,$K$6:$K$728,"&gt;"&amp;K634)+1</f>
        <v>23</v>
      </c>
      <c r="M634" s="10" t="n">
        <f aca="false">K634/SUMIFS($K$6:$K$728,$I$6:$I$728,I634)</f>
        <v>0.00578034682080925</v>
      </c>
    </row>
    <row r="635" customFormat="false" ht="15" hidden="false" customHeight="false" outlineLevel="0" collapsed="false">
      <c r="I635" s="8" t="s">
        <v>23</v>
      </c>
      <c r="J635" s="8" t="s">
        <v>673</v>
      </c>
      <c r="K635" s="9" t="n">
        <v>1</v>
      </c>
      <c r="L635" s="8" t="n">
        <f aca="false">COUNTIFS($I$6:$I$728,I635,$K$6:$K$728,"&gt;"&amp;K635)+1</f>
        <v>23</v>
      </c>
      <c r="M635" s="10" t="n">
        <f aca="false">K635/SUMIFS($K$6:$K$728,$I$6:$I$728,I635)</f>
        <v>0.00578034682080925</v>
      </c>
    </row>
    <row r="636" customFormat="false" ht="15" hidden="false" customHeight="false" outlineLevel="0" collapsed="false">
      <c r="I636" s="8" t="s">
        <v>23</v>
      </c>
      <c r="J636" s="8" t="s">
        <v>674</v>
      </c>
      <c r="K636" s="9" t="n">
        <v>1</v>
      </c>
      <c r="L636" s="8" t="n">
        <f aca="false">COUNTIFS($I$6:$I$728,I636,$K$6:$K$728,"&gt;"&amp;K636)+1</f>
        <v>23</v>
      </c>
      <c r="M636" s="10" t="n">
        <f aca="false">K636/SUMIFS($K$6:$K$728,$I$6:$I$728,I636)</f>
        <v>0.00578034682080925</v>
      </c>
    </row>
    <row r="637" customFormat="false" ht="15" hidden="false" customHeight="false" outlineLevel="0" collapsed="false">
      <c r="I637" s="8" t="s">
        <v>23</v>
      </c>
      <c r="J637" s="8" t="s">
        <v>675</v>
      </c>
      <c r="K637" s="9" t="n">
        <v>1</v>
      </c>
      <c r="L637" s="8" t="n">
        <f aca="false">COUNTIFS($I$6:$I$728,I637,$K$6:$K$728,"&gt;"&amp;K637)+1</f>
        <v>23</v>
      </c>
      <c r="M637" s="10" t="n">
        <f aca="false">K637/SUMIFS($K$6:$K$728,$I$6:$I$728,I637)</f>
        <v>0.00578034682080925</v>
      </c>
    </row>
    <row r="638" customFormat="false" ht="15" hidden="false" customHeight="false" outlineLevel="0" collapsed="false">
      <c r="I638" s="8" t="s">
        <v>23</v>
      </c>
      <c r="J638" s="8" t="s">
        <v>676</v>
      </c>
      <c r="K638" s="9" t="n">
        <v>1</v>
      </c>
      <c r="L638" s="8" t="n">
        <f aca="false">COUNTIFS($I$6:$I$728,I638,$K$6:$K$728,"&gt;"&amp;K638)+1</f>
        <v>23</v>
      </c>
      <c r="M638" s="10" t="n">
        <f aca="false">K638/SUMIFS($K$6:$K$728,$I$6:$I$728,I638)</f>
        <v>0.00578034682080925</v>
      </c>
    </row>
    <row r="639" customFormat="false" ht="15" hidden="false" customHeight="false" outlineLevel="0" collapsed="false">
      <c r="I639" s="8" t="s">
        <v>23</v>
      </c>
      <c r="J639" s="8" t="s">
        <v>677</v>
      </c>
      <c r="K639" s="9" t="n">
        <v>1</v>
      </c>
      <c r="L639" s="8" t="n">
        <f aca="false">COUNTIFS($I$6:$I$728,I639,$K$6:$K$728,"&gt;"&amp;K639)+1</f>
        <v>23</v>
      </c>
      <c r="M639" s="10" t="n">
        <f aca="false">K639/SUMIFS($K$6:$K$728,$I$6:$I$728,I639)</f>
        <v>0.00578034682080925</v>
      </c>
    </row>
    <row r="640" customFormat="false" ht="15" hidden="false" customHeight="false" outlineLevel="0" collapsed="false">
      <c r="I640" s="8" t="s">
        <v>23</v>
      </c>
      <c r="J640" s="8" t="s">
        <v>678</v>
      </c>
      <c r="K640" s="9" t="n">
        <v>1</v>
      </c>
      <c r="L640" s="8" t="n">
        <f aca="false">COUNTIFS($I$6:$I$728,I640,$K$6:$K$728,"&gt;"&amp;K640)+1</f>
        <v>23</v>
      </c>
      <c r="M640" s="10" t="n">
        <f aca="false">K640/SUMIFS($K$6:$K$728,$I$6:$I$728,I640)</f>
        <v>0.00578034682080925</v>
      </c>
    </row>
    <row r="641" customFormat="false" ht="15" hidden="false" customHeight="false" outlineLevel="0" collapsed="false">
      <c r="I641" s="8" t="s">
        <v>23</v>
      </c>
      <c r="J641" s="8" t="s">
        <v>679</v>
      </c>
      <c r="K641" s="9" t="n">
        <v>1</v>
      </c>
      <c r="L641" s="8" t="n">
        <f aca="false">COUNTIFS($I$6:$I$728,I641,$K$6:$K$728,"&gt;"&amp;K641)+1</f>
        <v>23</v>
      </c>
      <c r="M641" s="10" t="n">
        <f aca="false">K641/SUMIFS($K$6:$K$728,$I$6:$I$728,I641)</f>
        <v>0.00578034682080925</v>
      </c>
    </row>
    <row r="642" customFormat="false" ht="15" hidden="false" customHeight="false" outlineLevel="0" collapsed="false">
      <c r="I642" s="8" t="s">
        <v>23</v>
      </c>
      <c r="J642" s="8" t="s">
        <v>680</v>
      </c>
      <c r="K642" s="9" t="n">
        <v>1</v>
      </c>
      <c r="L642" s="8" t="n">
        <f aca="false">COUNTIFS($I$6:$I$728,I642,$K$6:$K$728,"&gt;"&amp;K642)+1</f>
        <v>23</v>
      </c>
      <c r="M642" s="10" t="n">
        <f aca="false">K642/SUMIFS($K$6:$K$728,$I$6:$I$728,I642)</f>
        <v>0.00578034682080925</v>
      </c>
    </row>
    <row r="643" customFormat="false" ht="15" hidden="false" customHeight="false" outlineLevel="0" collapsed="false">
      <c r="I643" s="8" t="s">
        <v>23</v>
      </c>
      <c r="J643" s="8" t="s">
        <v>681</v>
      </c>
      <c r="K643" s="9" t="n">
        <v>1</v>
      </c>
      <c r="L643" s="8" t="n">
        <f aca="false">COUNTIFS($I$6:$I$728,I643,$K$6:$K$728,"&gt;"&amp;K643)+1</f>
        <v>23</v>
      </c>
      <c r="M643" s="10" t="n">
        <f aca="false">K643/SUMIFS($K$6:$K$728,$I$6:$I$728,I643)</f>
        <v>0.00578034682080925</v>
      </c>
    </row>
    <row r="644" customFormat="false" ht="15" hidden="false" customHeight="false" outlineLevel="0" collapsed="false">
      <c r="I644" s="8" t="s">
        <v>23</v>
      </c>
      <c r="J644" s="8" t="s">
        <v>682</v>
      </c>
      <c r="K644" s="9" t="n">
        <v>1</v>
      </c>
      <c r="L644" s="8" t="n">
        <f aca="false">COUNTIFS($I$6:$I$728,I644,$K$6:$K$728,"&gt;"&amp;K644)+1</f>
        <v>23</v>
      </c>
      <c r="M644" s="10" t="n">
        <f aca="false">K644/SUMIFS($K$6:$K$728,$I$6:$I$728,I644)</f>
        <v>0.00578034682080925</v>
      </c>
    </row>
    <row r="645" customFormat="false" ht="15" hidden="false" customHeight="false" outlineLevel="0" collapsed="false">
      <c r="I645" s="8" t="s">
        <v>23</v>
      </c>
      <c r="J645" s="8" t="s">
        <v>683</v>
      </c>
      <c r="K645" s="9" t="n">
        <v>1</v>
      </c>
      <c r="L645" s="8" t="n">
        <f aca="false">COUNTIFS($I$6:$I$728,I645,$K$6:$K$728,"&gt;"&amp;K645)+1</f>
        <v>23</v>
      </c>
      <c r="M645" s="10" t="n">
        <f aca="false">K645/SUMIFS($K$6:$K$728,$I$6:$I$728,I645)</f>
        <v>0.00578034682080925</v>
      </c>
    </row>
    <row r="646" customFormat="false" ht="15" hidden="false" customHeight="false" outlineLevel="0" collapsed="false">
      <c r="I646" s="8" t="s">
        <v>23</v>
      </c>
      <c r="J646" s="8" t="s">
        <v>684</v>
      </c>
      <c r="K646" s="9" t="n">
        <v>1</v>
      </c>
      <c r="L646" s="8" t="n">
        <f aca="false">COUNTIFS($I$6:$I$728,I646,$K$6:$K$728,"&gt;"&amp;K646)+1</f>
        <v>23</v>
      </c>
      <c r="M646" s="10" t="n">
        <f aca="false">K646/SUMIFS($K$6:$K$728,$I$6:$I$728,I646)</f>
        <v>0.00578034682080925</v>
      </c>
    </row>
    <row r="647" customFormat="false" ht="15" hidden="false" customHeight="false" outlineLevel="0" collapsed="false">
      <c r="I647" s="8" t="s">
        <v>23</v>
      </c>
      <c r="J647" s="8" t="s">
        <v>685</v>
      </c>
      <c r="K647" s="9" t="n">
        <v>1</v>
      </c>
      <c r="L647" s="8" t="n">
        <f aca="false">COUNTIFS($I$6:$I$728,I647,$K$6:$K$728,"&gt;"&amp;K647)+1</f>
        <v>23</v>
      </c>
      <c r="M647" s="10" t="n">
        <f aca="false">K647/SUMIFS($K$6:$K$728,$I$6:$I$728,I647)</f>
        <v>0.00578034682080925</v>
      </c>
    </row>
    <row r="648" customFormat="false" ht="15" hidden="false" customHeight="false" outlineLevel="0" collapsed="false">
      <c r="I648" s="8" t="s">
        <v>23</v>
      </c>
      <c r="J648" s="8" t="s">
        <v>686</v>
      </c>
      <c r="K648" s="9" t="n">
        <v>1</v>
      </c>
      <c r="L648" s="8" t="n">
        <f aca="false">COUNTIFS($I$6:$I$728,I648,$K$6:$K$728,"&gt;"&amp;K648)+1</f>
        <v>23</v>
      </c>
      <c r="M648" s="10" t="n">
        <f aca="false">K648/SUMIFS($K$6:$K$728,$I$6:$I$728,I648)</f>
        <v>0.00578034682080925</v>
      </c>
    </row>
    <row r="649" customFormat="false" ht="15" hidden="false" customHeight="false" outlineLevel="0" collapsed="false">
      <c r="I649" s="8" t="s">
        <v>23</v>
      </c>
      <c r="J649" s="8" t="s">
        <v>687</v>
      </c>
      <c r="K649" s="9" t="n">
        <v>1</v>
      </c>
      <c r="L649" s="8" t="n">
        <f aca="false">COUNTIFS($I$6:$I$728,I649,$K$6:$K$728,"&gt;"&amp;K649)+1</f>
        <v>23</v>
      </c>
      <c r="M649" s="10" t="n">
        <f aca="false">K649/SUMIFS($K$6:$K$728,$I$6:$I$728,I649)</f>
        <v>0.00578034682080925</v>
      </c>
    </row>
    <row r="650" customFormat="false" ht="15" hidden="false" customHeight="false" outlineLevel="0" collapsed="false">
      <c r="I650" s="8" t="s">
        <v>23</v>
      </c>
      <c r="J650" s="8" t="s">
        <v>688</v>
      </c>
      <c r="K650" s="9" t="n">
        <v>1</v>
      </c>
      <c r="L650" s="8" t="n">
        <f aca="false">COUNTIFS($I$6:$I$728,I650,$K$6:$K$728,"&gt;"&amp;K650)+1</f>
        <v>23</v>
      </c>
      <c r="M650" s="10" t="n">
        <f aca="false">K650/SUMIFS($K$6:$K$728,$I$6:$I$728,I650)</f>
        <v>0.00578034682080925</v>
      </c>
    </row>
    <row r="651" customFormat="false" ht="15" hidden="false" customHeight="false" outlineLevel="0" collapsed="false">
      <c r="I651" s="8" t="s">
        <v>23</v>
      </c>
      <c r="J651" s="8" t="s">
        <v>689</v>
      </c>
      <c r="K651" s="9" t="n">
        <v>1</v>
      </c>
      <c r="L651" s="8" t="n">
        <f aca="false">COUNTIFS($I$6:$I$728,I651,$K$6:$K$728,"&gt;"&amp;K651)+1</f>
        <v>23</v>
      </c>
      <c r="M651" s="10" t="n">
        <f aca="false">K651/SUMIFS($K$6:$K$728,$I$6:$I$728,I651)</f>
        <v>0.00578034682080925</v>
      </c>
    </row>
    <row r="652" customFormat="false" ht="15" hidden="false" customHeight="false" outlineLevel="0" collapsed="false">
      <c r="I652" s="8" t="s">
        <v>23</v>
      </c>
      <c r="J652" s="8" t="s">
        <v>690</v>
      </c>
      <c r="K652" s="9" t="n">
        <v>1</v>
      </c>
      <c r="L652" s="8" t="n">
        <f aca="false">COUNTIFS($I$6:$I$728,I652,$K$6:$K$728,"&gt;"&amp;K652)+1</f>
        <v>23</v>
      </c>
      <c r="M652" s="10" t="n">
        <f aca="false">K652/SUMIFS($K$6:$K$728,$I$6:$I$728,I652)</f>
        <v>0.00578034682080925</v>
      </c>
    </row>
    <row r="653" customFormat="false" ht="15" hidden="false" customHeight="false" outlineLevel="0" collapsed="false">
      <c r="I653" s="8" t="s">
        <v>23</v>
      </c>
      <c r="J653" s="8" t="s">
        <v>691</v>
      </c>
      <c r="K653" s="9" t="n">
        <v>1</v>
      </c>
      <c r="L653" s="8" t="n">
        <f aca="false">COUNTIFS($I$6:$I$728,I653,$K$6:$K$728,"&gt;"&amp;K653)+1</f>
        <v>23</v>
      </c>
      <c r="M653" s="10" t="n">
        <f aca="false">K653/SUMIFS($K$6:$K$728,$I$6:$I$728,I653)</f>
        <v>0.00578034682080925</v>
      </c>
    </row>
    <row r="654" customFormat="false" ht="15" hidden="false" customHeight="false" outlineLevel="0" collapsed="false">
      <c r="I654" s="8" t="s">
        <v>23</v>
      </c>
      <c r="J654" s="8" t="s">
        <v>692</v>
      </c>
      <c r="K654" s="9" t="n">
        <v>1</v>
      </c>
      <c r="L654" s="8" t="n">
        <f aca="false">COUNTIFS($I$6:$I$728,I654,$K$6:$K$728,"&gt;"&amp;K654)+1</f>
        <v>23</v>
      </c>
      <c r="M654" s="10" t="n">
        <f aca="false">K654/SUMIFS($K$6:$K$728,$I$6:$I$728,I654)</f>
        <v>0.00578034682080925</v>
      </c>
    </row>
    <row r="655" customFormat="false" ht="15" hidden="false" customHeight="false" outlineLevel="0" collapsed="false">
      <c r="I655" s="8" t="s">
        <v>23</v>
      </c>
      <c r="J655" s="8" t="s">
        <v>693</v>
      </c>
      <c r="K655" s="9" t="n">
        <v>1</v>
      </c>
      <c r="L655" s="8" t="n">
        <f aca="false">COUNTIFS($I$6:$I$728,I655,$K$6:$K$728,"&gt;"&amp;K655)+1</f>
        <v>23</v>
      </c>
      <c r="M655" s="10" t="n">
        <f aca="false">K655/SUMIFS($K$6:$K$728,$I$6:$I$728,I655)</f>
        <v>0.00578034682080925</v>
      </c>
    </row>
    <row r="656" customFormat="false" ht="15" hidden="false" customHeight="false" outlineLevel="0" collapsed="false">
      <c r="I656" s="8" t="s">
        <v>23</v>
      </c>
      <c r="J656" s="8" t="s">
        <v>694</v>
      </c>
      <c r="K656" s="9" t="n">
        <v>1</v>
      </c>
      <c r="L656" s="8" t="n">
        <f aca="false">COUNTIFS($I$6:$I$728,I656,$K$6:$K$728,"&gt;"&amp;K656)+1</f>
        <v>23</v>
      </c>
      <c r="M656" s="10" t="n">
        <f aca="false">K656/SUMIFS($K$6:$K$728,$I$6:$I$728,I656)</f>
        <v>0.00578034682080925</v>
      </c>
    </row>
    <row r="657" customFormat="false" ht="15" hidden="false" customHeight="false" outlineLevel="0" collapsed="false">
      <c r="I657" s="8" t="s">
        <v>23</v>
      </c>
      <c r="J657" s="8" t="s">
        <v>695</v>
      </c>
      <c r="K657" s="9" t="n">
        <v>1</v>
      </c>
      <c r="L657" s="8" t="n">
        <f aca="false">COUNTIFS($I$6:$I$728,I657,$K$6:$K$728,"&gt;"&amp;K657)+1</f>
        <v>23</v>
      </c>
      <c r="M657" s="10" t="n">
        <f aca="false">K657/SUMIFS($K$6:$K$728,$I$6:$I$728,I657)</f>
        <v>0.00578034682080925</v>
      </c>
    </row>
    <row r="658" customFormat="false" ht="15" hidden="false" customHeight="false" outlineLevel="0" collapsed="false">
      <c r="I658" s="8" t="s">
        <v>29</v>
      </c>
      <c r="J658" s="8" t="s">
        <v>184</v>
      </c>
      <c r="K658" s="9" t="n">
        <v>36</v>
      </c>
      <c r="L658" s="8" t="n">
        <f aca="false">COUNTIFS($I$6:$I$728,I658,$K$6:$K$728,"&gt;"&amp;K658)+1</f>
        <v>1</v>
      </c>
      <c r="M658" s="10" t="n">
        <f aca="false">K658/SUMIFS($K$6:$K$728,$I$6:$I$728,I658)</f>
        <v>0.321428571428571</v>
      </c>
    </row>
    <row r="659" customFormat="false" ht="15" hidden="false" customHeight="false" outlineLevel="0" collapsed="false">
      <c r="I659" s="8" t="s">
        <v>29</v>
      </c>
      <c r="J659" s="8" t="s">
        <v>186</v>
      </c>
      <c r="K659" s="9" t="n">
        <v>21</v>
      </c>
      <c r="L659" s="8" t="n">
        <f aca="false">COUNTIFS($I$6:$I$728,I659,$K$6:$K$728,"&gt;"&amp;K659)+1</f>
        <v>2</v>
      </c>
      <c r="M659" s="10" t="n">
        <f aca="false">K659/SUMIFS($K$6:$K$728,$I$6:$I$728,I659)</f>
        <v>0.1875</v>
      </c>
    </row>
    <row r="660" customFormat="false" ht="15" hidden="false" customHeight="false" outlineLevel="0" collapsed="false">
      <c r="I660" s="8" t="s">
        <v>29</v>
      </c>
      <c r="J660" s="8" t="s">
        <v>188</v>
      </c>
      <c r="K660" s="9" t="n">
        <v>7</v>
      </c>
      <c r="L660" s="8" t="n">
        <f aca="false">COUNTIFS($I$6:$I$728,I660,$K$6:$K$728,"&gt;"&amp;K660)+1</f>
        <v>3</v>
      </c>
      <c r="M660" s="10" t="n">
        <f aca="false">K660/SUMIFS($K$6:$K$728,$I$6:$I$728,I660)</f>
        <v>0.0625</v>
      </c>
    </row>
    <row r="661" customFormat="false" ht="15" hidden="false" customHeight="false" outlineLevel="0" collapsed="false">
      <c r="I661" s="8" t="s">
        <v>29</v>
      </c>
      <c r="J661" s="8" t="s">
        <v>190</v>
      </c>
      <c r="K661" s="9" t="n">
        <v>5</v>
      </c>
      <c r="L661" s="8" t="n">
        <f aca="false">COUNTIFS($I$6:$I$728,I661,$K$6:$K$728,"&gt;"&amp;K661)+1</f>
        <v>4</v>
      </c>
      <c r="M661" s="10" t="n">
        <f aca="false">K661/SUMIFS($K$6:$K$728,$I$6:$I$728,I661)</f>
        <v>0.0446428571428571</v>
      </c>
    </row>
    <row r="662" customFormat="false" ht="15" hidden="false" customHeight="false" outlineLevel="0" collapsed="false">
      <c r="I662" s="8" t="s">
        <v>29</v>
      </c>
      <c r="J662" s="8" t="s">
        <v>192</v>
      </c>
      <c r="K662" s="9" t="n">
        <v>4</v>
      </c>
      <c r="L662" s="8" t="n">
        <f aca="false">COUNTIFS($I$6:$I$728,I662,$K$6:$K$728,"&gt;"&amp;K662)+1</f>
        <v>5</v>
      </c>
      <c r="M662" s="10" t="n">
        <f aca="false">K662/SUMIFS($K$6:$K$728,$I$6:$I$728,I662)</f>
        <v>0.0357142857142857</v>
      </c>
    </row>
    <row r="663" customFormat="false" ht="15" hidden="false" customHeight="false" outlineLevel="0" collapsed="false">
      <c r="I663" s="8" t="s">
        <v>29</v>
      </c>
      <c r="J663" s="8" t="s">
        <v>194</v>
      </c>
      <c r="K663" s="9" t="n">
        <v>4</v>
      </c>
      <c r="L663" s="8" t="n">
        <f aca="false">COUNTIFS($I$6:$I$728,I663,$K$6:$K$728,"&gt;"&amp;K663)+1</f>
        <v>5</v>
      </c>
      <c r="M663" s="10" t="n">
        <f aca="false">K663/SUMIFS($K$6:$K$728,$I$6:$I$728,I663)</f>
        <v>0.0357142857142857</v>
      </c>
    </row>
    <row r="664" customFormat="false" ht="15" hidden="false" customHeight="false" outlineLevel="0" collapsed="false">
      <c r="I664" s="8" t="s">
        <v>29</v>
      </c>
      <c r="J664" s="8" t="s">
        <v>196</v>
      </c>
      <c r="K664" s="9" t="n">
        <v>3</v>
      </c>
      <c r="L664" s="8" t="n">
        <f aca="false">COUNTIFS($I$6:$I$728,I664,$K$6:$K$728,"&gt;"&amp;K664)+1</f>
        <v>7</v>
      </c>
      <c r="M664" s="10" t="n">
        <f aca="false">K664/SUMIFS($K$6:$K$728,$I$6:$I$728,I664)</f>
        <v>0.0267857142857143</v>
      </c>
    </row>
    <row r="665" customFormat="false" ht="15" hidden="false" customHeight="false" outlineLevel="0" collapsed="false">
      <c r="I665" s="8" t="s">
        <v>29</v>
      </c>
      <c r="J665" s="8" t="s">
        <v>198</v>
      </c>
      <c r="K665" s="9" t="n">
        <v>3</v>
      </c>
      <c r="L665" s="8" t="n">
        <f aca="false">COUNTIFS($I$6:$I$728,I665,$K$6:$K$728,"&gt;"&amp;K665)+1</f>
        <v>7</v>
      </c>
      <c r="M665" s="10" t="n">
        <f aca="false">K665/SUMIFS($K$6:$K$728,$I$6:$I$728,I665)</f>
        <v>0.0267857142857143</v>
      </c>
    </row>
    <row r="666" customFormat="false" ht="15" hidden="false" customHeight="false" outlineLevel="0" collapsed="false">
      <c r="I666" s="8" t="s">
        <v>29</v>
      </c>
      <c r="J666" s="8" t="s">
        <v>200</v>
      </c>
      <c r="K666" s="9" t="n">
        <v>3</v>
      </c>
      <c r="L666" s="8" t="n">
        <f aca="false">COUNTIFS($I$6:$I$728,I666,$K$6:$K$728,"&gt;"&amp;K666)+1</f>
        <v>7</v>
      </c>
      <c r="M666" s="10" t="n">
        <f aca="false">K666/SUMIFS($K$6:$K$728,$I$6:$I$728,I666)</f>
        <v>0.0267857142857143</v>
      </c>
    </row>
    <row r="667" customFormat="false" ht="15" hidden="false" customHeight="false" outlineLevel="0" collapsed="false">
      <c r="I667" s="8" t="s">
        <v>29</v>
      </c>
      <c r="J667" s="8" t="s">
        <v>202</v>
      </c>
      <c r="K667" s="9" t="n">
        <v>1</v>
      </c>
      <c r="L667" s="8" t="n">
        <f aca="false">COUNTIFS($I$6:$I$728,I667,$K$6:$K$728,"&gt;"&amp;K667)+1</f>
        <v>10</v>
      </c>
      <c r="M667" s="10" t="n">
        <f aca="false">K667/SUMIFS($K$6:$K$728,$I$6:$I$728,I667)</f>
        <v>0.00892857142857143</v>
      </c>
    </row>
    <row r="668" customFormat="false" ht="15" hidden="false" customHeight="false" outlineLevel="0" collapsed="false">
      <c r="I668" s="8" t="s">
        <v>29</v>
      </c>
      <c r="J668" s="8" t="s">
        <v>696</v>
      </c>
      <c r="K668" s="9" t="n">
        <v>1</v>
      </c>
      <c r="L668" s="8" t="n">
        <f aca="false">COUNTIFS($I$6:$I$728,I668,$K$6:$K$728,"&gt;"&amp;K668)+1</f>
        <v>10</v>
      </c>
      <c r="M668" s="10" t="n">
        <f aca="false">K668/SUMIFS($K$6:$K$728,$I$6:$I$728,I668)</f>
        <v>0.00892857142857143</v>
      </c>
    </row>
    <row r="669" customFormat="false" ht="15" hidden="false" customHeight="false" outlineLevel="0" collapsed="false">
      <c r="I669" s="8" t="s">
        <v>29</v>
      </c>
      <c r="J669" s="8" t="s">
        <v>697</v>
      </c>
      <c r="K669" s="9" t="n">
        <v>1</v>
      </c>
      <c r="L669" s="8" t="n">
        <f aca="false">COUNTIFS($I$6:$I$728,I669,$K$6:$K$728,"&gt;"&amp;K669)+1</f>
        <v>10</v>
      </c>
      <c r="M669" s="10" t="n">
        <f aca="false">K669/SUMIFS($K$6:$K$728,$I$6:$I$728,I669)</f>
        <v>0.00892857142857143</v>
      </c>
    </row>
    <row r="670" customFormat="false" ht="15" hidden="false" customHeight="false" outlineLevel="0" collapsed="false">
      <c r="I670" s="8" t="s">
        <v>29</v>
      </c>
      <c r="J670" s="8" t="s">
        <v>698</v>
      </c>
      <c r="K670" s="9" t="n">
        <v>1</v>
      </c>
      <c r="L670" s="8" t="n">
        <f aca="false">COUNTIFS($I$6:$I$728,I670,$K$6:$K$728,"&gt;"&amp;K670)+1</f>
        <v>10</v>
      </c>
      <c r="M670" s="10" t="n">
        <f aca="false">K670/SUMIFS($K$6:$K$728,$I$6:$I$728,I670)</f>
        <v>0.00892857142857143</v>
      </c>
    </row>
    <row r="671" customFormat="false" ht="15" hidden="false" customHeight="false" outlineLevel="0" collapsed="false">
      <c r="I671" s="8" t="s">
        <v>29</v>
      </c>
      <c r="J671" s="8" t="s">
        <v>699</v>
      </c>
      <c r="K671" s="9" t="n">
        <v>1</v>
      </c>
      <c r="L671" s="8" t="n">
        <f aca="false">COUNTIFS($I$6:$I$728,I671,$K$6:$K$728,"&gt;"&amp;K671)+1</f>
        <v>10</v>
      </c>
      <c r="M671" s="10" t="n">
        <f aca="false">K671/SUMIFS($K$6:$K$728,$I$6:$I$728,I671)</f>
        <v>0.00892857142857143</v>
      </c>
    </row>
    <row r="672" customFormat="false" ht="15" hidden="false" customHeight="false" outlineLevel="0" collapsed="false">
      <c r="I672" s="8" t="s">
        <v>29</v>
      </c>
      <c r="J672" s="8" t="s">
        <v>700</v>
      </c>
      <c r="K672" s="9" t="n">
        <v>1</v>
      </c>
      <c r="L672" s="8" t="n">
        <f aca="false">COUNTIFS($I$6:$I$728,I672,$K$6:$K$728,"&gt;"&amp;K672)+1</f>
        <v>10</v>
      </c>
      <c r="M672" s="10" t="n">
        <f aca="false">K672/SUMIFS($K$6:$K$728,$I$6:$I$728,I672)</f>
        <v>0.00892857142857143</v>
      </c>
    </row>
    <row r="673" customFormat="false" ht="15" hidden="false" customHeight="false" outlineLevel="0" collapsed="false">
      <c r="I673" s="8" t="s">
        <v>29</v>
      </c>
      <c r="J673" s="8" t="s">
        <v>701</v>
      </c>
      <c r="K673" s="9" t="n">
        <v>1</v>
      </c>
      <c r="L673" s="8" t="n">
        <f aca="false">COUNTIFS($I$6:$I$728,I673,$K$6:$K$728,"&gt;"&amp;K673)+1</f>
        <v>10</v>
      </c>
      <c r="M673" s="10" t="n">
        <f aca="false">K673/SUMIFS($K$6:$K$728,$I$6:$I$728,I673)</f>
        <v>0.00892857142857143</v>
      </c>
    </row>
    <row r="674" customFormat="false" ht="15" hidden="false" customHeight="false" outlineLevel="0" collapsed="false">
      <c r="I674" s="8" t="s">
        <v>29</v>
      </c>
      <c r="J674" s="8" t="s">
        <v>702</v>
      </c>
      <c r="K674" s="9" t="n">
        <v>1</v>
      </c>
      <c r="L674" s="8" t="n">
        <f aca="false">COUNTIFS($I$6:$I$728,I674,$K$6:$K$728,"&gt;"&amp;K674)+1</f>
        <v>10</v>
      </c>
      <c r="M674" s="10" t="n">
        <f aca="false">K674/SUMIFS($K$6:$K$728,$I$6:$I$728,I674)</f>
        <v>0.00892857142857143</v>
      </c>
    </row>
    <row r="675" customFormat="false" ht="15" hidden="false" customHeight="false" outlineLevel="0" collapsed="false">
      <c r="I675" s="8" t="s">
        <v>29</v>
      </c>
      <c r="J675" s="8" t="s">
        <v>703</v>
      </c>
      <c r="K675" s="9" t="n">
        <v>1</v>
      </c>
      <c r="L675" s="8" t="n">
        <f aca="false">COUNTIFS($I$6:$I$728,I675,$K$6:$K$728,"&gt;"&amp;K675)+1</f>
        <v>10</v>
      </c>
      <c r="M675" s="10" t="n">
        <f aca="false">K675/SUMIFS($K$6:$K$728,$I$6:$I$728,I675)</f>
        <v>0.00892857142857143</v>
      </c>
    </row>
    <row r="676" customFormat="false" ht="15" hidden="false" customHeight="false" outlineLevel="0" collapsed="false">
      <c r="I676" s="8" t="s">
        <v>29</v>
      </c>
      <c r="J676" s="8" t="s">
        <v>704</v>
      </c>
      <c r="K676" s="9" t="n">
        <v>1</v>
      </c>
      <c r="L676" s="8" t="n">
        <f aca="false">COUNTIFS($I$6:$I$728,I676,$K$6:$K$728,"&gt;"&amp;K676)+1</f>
        <v>10</v>
      </c>
      <c r="M676" s="10" t="n">
        <f aca="false">K676/SUMIFS($K$6:$K$728,$I$6:$I$728,I676)</f>
        <v>0.00892857142857143</v>
      </c>
    </row>
    <row r="677" customFormat="false" ht="15" hidden="false" customHeight="false" outlineLevel="0" collapsed="false">
      <c r="I677" s="8" t="s">
        <v>29</v>
      </c>
      <c r="J677" s="8" t="s">
        <v>705</v>
      </c>
      <c r="K677" s="9" t="n">
        <v>1</v>
      </c>
      <c r="L677" s="8" t="n">
        <f aca="false">COUNTIFS($I$6:$I$728,I677,$K$6:$K$728,"&gt;"&amp;K677)+1</f>
        <v>10</v>
      </c>
      <c r="M677" s="10" t="n">
        <f aca="false">K677/SUMIFS($K$6:$K$728,$I$6:$I$728,I677)</f>
        <v>0.00892857142857143</v>
      </c>
    </row>
    <row r="678" customFormat="false" ht="15" hidden="false" customHeight="false" outlineLevel="0" collapsed="false">
      <c r="I678" s="8" t="s">
        <v>29</v>
      </c>
      <c r="J678" s="8" t="s">
        <v>706</v>
      </c>
      <c r="K678" s="9" t="n">
        <v>1</v>
      </c>
      <c r="L678" s="8" t="n">
        <f aca="false">COUNTIFS($I$6:$I$728,I678,$K$6:$K$728,"&gt;"&amp;K678)+1</f>
        <v>10</v>
      </c>
      <c r="M678" s="10" t="n">
        <f aca="false">K678/SUMIFS($K$6:$K$728,$I$6:$I$728,I678)</f>
        <v>0.00892857142857143</v>
      </c>
    </row>
    <row r="679" customFormat="false" ht="15" hidden="false" customHeight="false" outlineLevel="0" collapsed="false">
      <c r="I679" s="8" t="s">
        <v>29</v>
      </c>
      <c r="J679" s="8" t="s">
        <v>707</v>
      </c>
      <c r="K679" s="9" t="n">
        <v>1</v>
      </c>
      <c r="L679" s="8" t="n">
        <f aca="false">COUNTIFS($I$6:$I$728,I679,$K$6:$K$728,"&gt;"&amp;K679)+1</f>
        <v>10</v>
      </c>
      <c r="M679" s="10" t="n">
        <f aca="false">K679/SUMIFS($K$6:$K$728,$I$6:$I$728,I679)</f>
        <v>0.00892857142857143</v>
      </c>
    </row>
    <row r="680" customFormat="false" ht="15" hidden="false" customHeight="false" outlineLevel="0" collapsed="false">
      <c r="I680" s="8" t="s">
        <v>29</v>
      </c>
      <c r="J680" s="8" t="s">
        <v>708</v>
      </c>
      <c r="K680" s="9" t="n">
        <v>1</v>
      </c>
      <c r="L680" s="8" t="n">
        <f aca="false">COUNTIFS($I$6:$I$728,I680,$K$6:$K$728,"&gt;"&amp;K680)+1</f>
        <v>10</v>
      </c>
      <c r="M680" s="10" t="n">
        <f aca="false">K680/SUMIFS($K$6:$K$728,$I$6:$I$728,I680)</f>
        <v>0.00892857142857143</v>
      </c>
    </row>
    <row r="681" customFormat="false" ht="15" hidden="false" customHeight="false" outlineLevel="0" collapsed="false">
      <c r="I681" s="8" t="s">
        <v>29</v>
      </c>
      <c r="J681" s="8" t="s">
        <v>709</v>
      </c>
      <c r="K681" s="9" t="n">
        <v>1</v>
      </c>
      <c r="L681" s="8" t="n">
        <f aca="false">COUNTIFS($I$6:$I$728,I681,$K$6:$K$728,"&gt;"&amp;K681)+1</f>
        <v>10</v>
      </c>
      <c r="M681" s="10" t="n">
        <f aca="false">K681/SUMIFS($K$6:$K$728,$I$6:$I$728,I681)</f>
        <v>0.00892857142857143</v>
      </c>
    </row>
    <row r="682" customFormat="false" ht="15" hidden="false" customHeight="false" outlineLevel="0" collapsed="false">
      <c r="I682" s="8" t="s">
        <v>29</v>
      </c>
      <c r="J682" s="8" t="s">
        <v>710</v>
      </c>
      <c r="K682" s="9" t="n">
        <v>1</v>
      </c>
      <c r="L682" s="8" t="n">
        <f aca="false">COUNTIFS($I$6:$I$728,I682,$K$6:$K$728,"&gt;"&amp;K682)+1</f>
        <v>10</v>
      </c>
      <c r="M682" s="10" t="n">
        <f aca="false">K682/SUMIFS($K$6:$K$728,$I$6:$I$728,I682)</f>
        <v>0.00892857142857143</v>
      </c>
    </row>
    <row r="683" customFormat="false" ht="15" hidden="false" customHeight="false" outlineLevel="0" collapsed="false">
      <c r="I683" s="8" t="s">
        <v>29</v>
      </c>
      <c r="J683" s="8" t="s">
        <v>711</v>
      </c>
      <c r="K683" s="9" t="n">
        <v>1</v>
      </c>
      <c r="L683" s="8" t="n">
        <f aca="false">COUNTIFS($I$6:$I$728,I683,$K$6:$K$728,"&gt;"&amp;K683)+1</f>
        <v>10</v>
      </c>
      <c r="M683" s="10" t="n">
        <f aca="false">K683/SUMIFS($K$6:$K$728,$I$6:$I$728,I683)</f>
        <v>0.00892857142857143</v>
      </c>
    </row>
    <row r="684" customFormat="false" ht="15" hidden="false" customHeight="false" outlineLevel="0" collapsed="false">
      <c r="I684" s="8" t="s">
        <v>29</v>
      </c>
      <c r="J684" s="8" t="s">
        <v>712</v>
      </c>
      <c r="K684" s="9" t="n">
        <v>1</v>
      </c>
      <c r="L684" s="8" t="n">
        <f aca="false">COUNTIFS($I$6:$I$728,I684,$K$6:$K$728,"&gt;"&amp;K684)+1</f>
        <v>10</v>
      </c>
      <c r="M684" s="10" t="n">
        <f aca="false">K684/SUMIFS($K$6:$K$728,$I$6:$I$728,I684)</f>
        <v>0.00892857142857143</v>
      </c>
    </row>
    <row r="685" customFormat="false" ht="15" hidden="false" customHeight="false" outlineLevel="0" collapsed="false">
      <c r="I685" s="8" t="s">
        <v>29</v>
      </c>
      <c r="J685" s="8" t="s">
        <v>713</v>
      </c>
      <c r="K685" s="9" t="n">
        <v>1</v>
      </c>
      <c r="L685" s="8" t="n">
        <f aca="false">COUNTIFS($I$6:$I$728,I685,$K$6:$K$728,"&gt;"&amp;K685)+1</f>
        <v>10</v>
      </c>
      <c r="M685" s="10" t="n">
        <f aca="false">K685/SUMIFS($K$6:$K$728,$I$6:$I$728,I685)</f>
        <v>0.00892857142857143</v>
      </c>
    </row>
    <row r="686" customFormat="false" ht="15" hidden="false" customHeight="false" outlineLevel="0" collapsed="false">
      <c r="I686" s="8" t="s">
        <v>29</v>
      </c>
      <c r="J686" s="8" t="s">
        <v>714</v>
      </c>
      <c r="K686" s="9" t="n">
        <v>1</v>
      </c>
      <c r="L686" s="8" t="n">
        <f aca="false">COUNTIFS($I$6:$I$728,I686,$K$6:$K$728,"&gt;"&amp;K686)+1</f>
        <v>10</v>
      </c>
      <c r="M686" s="10" t="n">
        <f aca="false">K686/SUMIFS($K$6:$K$728,$I$6:$I$728,I686)</f>
        <v>0.00892857142857143</v>
      </c>
    </row>
    <row r="687" customFormat="false" ht="15" hidden="false" customHeight="false" outlineLevel="0" collapsed="false">
      <c r="I687" s="8" t="s">
        <v>29</v>
      </c>
      <c r="J687" s="8" t="s">
        <v>715</v>
      </c>
      <c r="K687" s="9" t="n">
        <v>1</v>
      </c>
      <c r="L687" s="8" t="n">
        <f aca="false">COUNTIFS($I$6:$I$728,I687,$K$6:$K$728,"&gt;"&amp;K687)+1</f>
        <v>10</v>
      </c>
      <c r="M687" s="10" t="n">
        <f aca="false">K687/SUMIFS($K$6:$K$728,$I$6:$I$728,I687)</f>
        <v>0.00892857142857143</v>
      </c>
    </row>
    <row r="688" customFormat="false" ht="15" hidden="false" customHeight="false" outlineLevel="0" collapsed="false">
      <c r="I688" s="8" t="s">
        <v>29</v>
      </c>
      <c r="J688" s="8" t="s">
        <v>716</v>
      </c>
      <c r="K688" s="9" t="n">
        <v>1</v>
      </c>
      <c r="L688" s="8" t="n">
        <f aca="false">COUNTIFS($I$6:$I$728,I688,$K$6:$K$728,"&gt;"&amp;K688)+1</f>
        <v>10</v>
      </c>
      <c r="M688" s="10" t="n">
        <f aca="false">K688/SUMIFS($K$6:$K$728,$I$6:$I$728,I688)</f>
        <v>0.00892857142857143</v>
      </c>
    </row>
    <row r="689" customFormat="false" ht="15" hidden="false" customHeight="false" outlineLevel="0" collapsed="false">
      <c r="I689" s="8" t="s">
        <v>29</v>
      </c>
      <c r="J689" s="8" t="s">
        <v>717</v>
      </c>
      <c r="K689" s="9" t="n">
        <v>1</v>
      </c>
      <c r="L689" s="8" t="n">
        <f aca="false">COUNTIFS($I$6:$I$728,I689,$K$6:$K$728,"&gt;"&amp;K689)+1</f>
        <v>10</v>
      </c>
      <c r="M689" s="10" t="n">
        <f aca="false">K689/SUMIFS($K$6:$K$728,$I$6:$I$728,I689)</f>
        <v>0.00892857142857143</v>
      </c>
    </row>
    <row r="690" customFormat="false" ht="15" hidden="false" customHeight="false" outlineLevel="0" collapsed="false">
      <c r="I690" s="8" t="s">
        <v>29</v>
      </c>
      <c r="J690" s="8" t="s">
        <v>718</v>
      </c>
      <c r="K690" s="9" t="n">
        <v>1</v>
      </c>
      <c r="L690" s="8" t="n">
        <f aca="false">COUNTIFS($I$6:$I$728,I690,$K$6:$K$728,"&gt;"&amp;K690)+1</f>
        <v>10</v>
      </c>
      <c r="M690" s="10" t="n">
        <f aca="false">K690/SUMIFS($K$6:$K$728,$I$6:$I$728,I690)</f>
        <v>0.00892857142857143</v>
      </c>
    </row>
    <row r="691" customFormat="false" ht="15" hidden="false" customHeight="false" outlineLevel="0" collapsed="false">
      <c r="I691" s="8" t="s">
        <v>29</v>
      </c>
      <c r="J691" s="8" t="s">
        <v>719</v>
      </c>
      <c r="K691" s="9" t="n">
        <v>1</v>
      </c>
      <c r="L691" s="8" t="n">
        <f aca="false">COUNTIFS($I$6:$I$728,I691,$K$6:$K$728,"&gt;"&amp;K691)+1</f>
        <v>10</v>
      </c>
      <c r="M691" s="10" t="n">
        <f aca="false">K691/SUMIFS($K$6:$K$728,$I$6:$I$728,I691)</f>
        <v>0.00892857142857143</v>
      </c>
    </row>
    <row r="692" customFormat="false" ht="15" hidden="false" customHeight="false" outlineLevel="0" collapsed="false">
      <c r="I692" s="8" t="s">
        <v>29</v>
      </c>
      <c r="J692" s="8" t="s">
        <v>170</v>
      </c>
      <c r="K692" s="9" t="n">
        <v>1</v>
      </c>
      <c r="L692" s="8" t="n">
        <f aca="false">COUNTIFS($I$6:$I$728,I692,$K$6:$K$728,"&gt;"&amp;K692)+1</f>
        <v>10</v>
      </c>
      <c r="M692" s="10" t="n">
        <f aca="false">K692/SUMIFS($K$6:$K$728,$I$6:$I$728,I692)</f>
        <v>0.00892857142857143</v>
      </c>
    </row>
    <row r="693" customFormat="false" ht="15" hidden="false" customHeight="false" outlineLevel="0" collapsed="false">
      <c r="I693" s="8" t="s">
        <v>27</v>
      </c>
      <c r="J693" s="8" t="s">
        <v>163</v>
      </c>
      <c r="K693" s="9" t="n">
        <v>57</v>
      </c>
      <c r="L693" s="8" t="n">
        <f aca="false">COUNTIFS($I$6:$I$728,I693,$K$6:$K$728,"&gt;"&amp;K693)+1</f>
        <v>1</v>
      </c>
      <c r="M693" s="10" t="n">
        <f aca="false">K693/SUMIFS($K$6:$K$728,$I$6:$I$728,I693)</f>
        <v>0.422222222222222</v>
      </c>
    </row>
    <row r="694" customFormat="false" ht="15" hidden="false" customHeight="false" outlineLevel="0" collapsed="false">
      <c r="I694" s="8" t="s">
        <v>27</v>
      </c>
      <c r="J694" s="8" t="s">
        <v>165</v>
      </c>
      <c r="K694" s="9" t="n">
        <v>9</v>
      </c>
      <c r="L694" s="8" t="n">
        <f aca="false">COUNTIFS($I$6:$I$728,I694,$K$6:$K$728,"&gt;"&amp;K694)+1</f>
        <v>2</v>
      </c>
      <c r="M694" s="10" t="n">
        <f aca="false">K694/SUMIFS($K$6:$K$728,$I$6:$I$728,I694)</f>
        <v>0.0666666666666667</v>
      </c>
    </row>
    <row r="695" customFormat="false" ht="15" hidden="false" customHeight="false" outlineLevel="0" collapsed="false">
      <c r="I695" s="8" t="s">
        <v>27</v>
      </c>
      <c r="J695" s="8" t="s">
        <v>167</v>
      </c>
      <c r="K695" s="9" t="n">
        <v>6</v>
      </c>
      <c r="L695" s="8" t="n">
        <f aca="false">COUNTIFS($I$6:$I$728,I695,$K$6:$K$728,"&gt;"&amp;K695)+1</f>
        <v>3</v>
      </c>
      <c r="M695" s="10" t="n">
        <f aca="false">K695/SUMIFS($K$6:$K$728,$I$6:$I$728,I695)</f>
        <v>0.0444444444444444</v>
      </c>
    </row>
    <row r="696" customFormat="false" ht="15" hidden="false" customHeight="false" outlineLevel="0" collapsed="false">
      <c r="I696" s="8" t="s">
        <v>27</v>
      </c>
      <c r="J696" s="8" t="s">
        <v>169</v>
      </c>
      <c r="K696" s="9" t="n">
        <v>6</v>
      </c>
      <c r="L696" s="8" t="n">
        <f aca="false">COUNTIFS($I$6:$I$728,I696,$K$6:$K$728,"&gt;"&amp;K696)+1</f>
        <v>3</v>
      </c>
      <c r="M696" s="10" t="n">
        <f aca="false">K696/SUMIFS($K$6:$K$728,$I$6:$I$728,I696)</f>
        <v>0.0444444444444444</v>
      </c>
    </row>
    <row r="697" customFormat="false" ht="15" hidden="false" customHeight="false" outlineLevel="0" collapsed="false">
      <c r="I697" s="8" t="s">
        <v>27</v>
      </c>
      <c r="J697" s="8" t="s">
        <v>171</v>
      </c>
      <c r="K697" s="9" t="n">
        <v>6</v>
      </c>
      <c r="L697" s="8" t="n">
        <f aca="false">COUNTIFS($I$6:$I$728,I697,$K$6:$K$728,"&gt;"&amp;K697)+1</f>
        <v>3</v>
      </c>
      <c r="M697" s="10" t="n">
        <f aca="false">K697/SUMIFS($K$6:$K$728,$I$6:$I$728,I697)</f>
        <v>0.0444444444444444</v>
      </c>
    </row>
    <row r="698" customFormat="false" ht="15" hidden="false" customHeight="false" outlineLevel="0" collapsed="false">
      <c r="I698" s="8" t="s">
        <v>27</v>
      </c>
      <c r="J698" s="8" t="s">
        <v>173</v>
      </c>
      <c r="K698" s="9" t="n">
        <v>5</v>
      </c>
      <c r="L698" s="8" t="n">
        <f aca="false">COUNTIFS($I$6:$I$728,I698,$K$6:$K$728,"&gt;"&amp;K698)+1</f>
        <v>6</v>
      </c>
      <c r="M698" s="10" t="n">
        <f aca="false">K698/SUMIFS($K$6:$K$728,$I$6:$I$728,I698)</f>
        <v>0.037037037037037</v>
      </c>
    </row>
    <row r="699" customFormat="false" ht="15" hidden="false" customHeight="false" outlineLevel="0" collapsed="false">
      <c r="I699" s="8" t="s">
        <v>27</v>
      </c>
      <c r="J699" s="8" t="s">
        <v>175</v>
      </c>
      <c r="K699" s="9" t="n">
        <v>3</v>
      </c>
      <c r="L699" s="8" t="n">
        <f aca="false">COUNTIFS($I$6:$I$728,I699,$K$6:$K$728,"&gt;"&amp;K699)+1</f>
        <v>7</v>
      </c>
      <c r="M699" s="10" t="n">
        <f aca="false">K699/SUMIFS($K$6:$K$728,$I$6:$I$728,I699)</f>
        <v>0.0222222222222222</v>
      </c>
    </row>
    <row r="700" customFormat="false" ht="15" hidden="false" customHeight="false" outlineLevel="0" collapsed="false">
      <c r="I700" s="8" t="s">
        <v>27</v>
      </c>
      <c r="J700" s="8" t="s">
        <v>177</v>
      </c>
      <c r="K700" s="9" t="n">
        <v>3</v>
      </c>
      <c r="L700" s="8" t="n">
        <f aca="false">COUNTIFS($I$6:$I$728,I700,$K$6:$K$728,"&gt;"&amp;K700)+1</f>
        <v>7</v>
      </c>
      <c r="M700" s="10" t="n">
        <f aca="false">K700/SUMIFS($K$6:$K$728,$I$6:$I$728,I700)</f>
        <v>0.0222222222222222</v>
      </c>
    </row>
    <row r="701" customFormat="false" ht="15" hidden="false" customHeight="false" outlineLevel="0" collapsed="false">
      <c r="I701" s="8" t="s">
        <v>27</v>
      </c>
      <c r="J701" s="8" t="s">
        <v>179</v>
      </c>
      <c r="K701" s="9" t="n">
        <v>3</v>
      </c>
      <c r="L701" s="8" t="n">
        <f aca="false">COUNTIFS($I$6:$I$728,I701,$K$6:$K$728,"&gt;"&amp;K701)+1</f>
        <v>7</v>
      </c>
      <c r="M701" s="10" t="n">
        <f aca="false">K701/SUMIFS($K$6:$K$728,$I$6:$I$728,I701)</f>
        <v>0.0222222222222222</v>
      </c>
    </row>
    <row r="702" customFormat="false" ht="15" hidden="false" customHeight="false" outlineLevel="0" collapsed="false">
      <c r="I702" s="8" t="s">
        <v>27</v>
      </c>
      <c r="J702" s="8" t="s">
        <v>181</v>
      </c>
      <c r="K702" s="9" t="n">
        <v>2</v>
      </c>
      <c r="L702" s="8" t="n">
        <f aca="false">COUNTIFS($I$6:$I$728,I702,$K$6:$K$728,"&gt;"&amp;K702)+1</f>
        <v>10</v>
      </c>
      <c r="M702" s="10" t="n">
        <f aca="false">K702/SUMIFS($K$6:$K$728,$I$6:$I$728,I702)</f>
        <v>0.0148148148148148</v>
      </c>
    </row>
    <row r="703" customFormat="false" ht="15" hidden="false" customHeight="false" outlineLevel="0" collapsed="false">
      <c r="I703" s="8" t="s">
        <v>27</v>
      </c>
      <c r="J703" s="8" t="s">
        <v>72</v>
      </c>
      <c r="K703" s="9" t="n">
        <v>2</v>
      </c>
      <c r="L703" s="8" t="n">
        <f aca="false">COUNTIFS($I$6:$I$728,I703,$K$6:$K$728,"&gt;"&amp;K703)+1</f>
        <v>10</v>
      </c>
      <c r="M703" s="10" t="n">
        <f aca="false">K703/SUMIFS($K$6:$K$728,$I$6:$I$728,I703)</f>
        <v>0.0148148148148148</v>
      </c>
    </row>
    <row r="704" customFormat="false" ht="15" hidden="false" customHeight="false" outlineLevel="0" collapsed="false">
      <c r="I704" s="8" t="s">
        <v>27</v>
      </c>
      <c r="J704" s="8" t="s">
        <v>720</v>
      </c>
      <c r="K704" s="9" t="n">
        <v>2</v>
      </c>
      <c r="L704" s="8" t="n">
        <f aca="false">COUNTIFS($I$6:$I$728,I704,$K$6:$K$728,"&gt;"&amp;K704)+1</f>
        <v>10</v>
      </c>
      <c r="M704" s="10" t="n">
        <f aca="false">K704/SUMIFS($K$6:$K$728,$I$6:$I$728,I704)</f>
        <v>0.0148148148148148</v>
      </c>
    </row>
    <row r="705" customFormat="false" ht="15" hidden="false" customHeight="false" outlineLevel="0" collapsed="false">
      <c r="I705" s="8" t="s">
        <v>27</v>
      </c>
      <c r="J705" s="8" t="s">
        <v>721</v>
      </c>
      <c r="K705" s="9" t="n">
        <v>2</v>
      </c>
      <c r="L705" s="8" t="n">
        <f aca="false">COUNTIFS($I$6:$I$728,I705,$K$6:$K$728,"&gt;"&amp;K705)+1</f>
        <v>10</v>
      </c>
      <c r="M705" s="10" t="n">
        <f aca="false">K705/SUMIFS($K$6:$K$728,$I$6:$I$728,I705)</f>
        <v>0.0148148148148148</v>
      </c>
    </row>
    <row r="706" customFormat="false" ht="15" hidden="false" customHeight="false" outlineLevel="0" collapsed="false">
      <c r="I706" s="8" t="s">
        <v>27</v>
      </c>
      <c r="J706" s="8" t="s">
        <v>722</v>
      </c>
      <c r="K706" s="9" t="n">
        <v>2</v>
      </c>
      <c r="L706" s="8" t="n">
        <f aca="false">COUNTIFS($I$6:$I$728,I706,$K$6:$K$728,"&gt;"&amp;K706)+1</f>
        <v>10</v>
      </c>
      <c r="M706" s="10" t="n">
        <f aca="false">K706/SUMIFS($K$6:$K$728,$I$6:$I$728,I706)</f>
        <v>0.0148148148148148</v>
      </c>
    </row>
    <row r="707" customFormat="false" ht="15" hidden="false" customHeight="false" outlineLevel="0" collapsed="false">
      <c r="I707" s="8" t="s">
        <v>27</v>
      </c>
      <c r="J707" s="8" t="s">
        <v>723</v>
      </c>
      <c r="K707" s="9" t="n">
        <v>2</v>
      </c>
      <c r="L707" s="8" t="n">
        <f aca="false">COUNTIFS($I$6:$I$728,I707,$K$6:$K$728,"&gt;"&amp;K707)+1</f>
        <v>10</v>
      </c>
      <c r="M707" s="10" t="n">
        <f aca="false">K707/SUMIFS($K$6:$K$728,$I$6:$I$728,I707)</f>
        <v>0.0148148148148148</v>
      </c>
    </row>
    <row r="708" customFormat="false" ht="15" hidden="false" customHeight="false" outlineLevel="0" collapsed="false">
      <c r="I708" s="8" t="s">
        <v>27</v>
      </c>
      <c r="J708" s="8" t="s">
        <v>724</v>
      </c>
      <c r="K708" s="9" t="n">
        <v>2</v>
      </c>
      <c r="L708" s="8" t="n">
        <f aca="false">COUNTIFS($I$6:$I$728,I708,$K$6:$K$728,"&gt;"&amp;K708)+1</f>
        <v>10</v>
      </c>
      <c r="M708" s="10" t="n">
        <f aca="false">K708/SUMIFS($K$6:$K$728,$I$6:$I$728,I708)</f>
        <v>0.0148148148148148</v>
      </c>
    </row>
    <row r="709" customFormat="false" ht="15" hidden="false" customHeight="false" outlineLevel="0" collapsed="false">
      <c r="I709" s="8" t="s">
        <v>27</v>
      </c>
      <c r="J709" s="8" t="s">
        <v>725</v>
      </c>
      <c r="K709" s="9" t="n">
        <v>2</v>
      </c>
      <c r="L709" s="8" t="n">
        <f aca="false">COUNTIFS($I$6:$I$728,I709,$K$6:$K$728,"&gt;"&amp;K709)+1</f>
        <v>10</v>
      </c>
      <c r="M709" s="10" t="n">
        <f aca="false">K709/SUMIFS($K$6:$K$728,$I$6:$I$728,I709)</f>
        <v>0.0148148148148148</v>
      </c>
    </row>
    <row r="710" customFormat="false" ht="15" hidden="false" customHeight="false" outlineLevel="0" collapsed="false">
      <c r="I710" s="8" t="s">
        <v>27</v>
      </c>
      <c r="J710" s="8" t="s">
        <v>726</v>
      </c>
      <c r="K710" s="9" t="n">
        <v>2</v>
      </c>
      <c r="L710" s="8" t="n">
        <f aca="false">COUNTIFS($I$6:$I$728,I710,$K$6:$K$728,"&gt;"&amp;K710)+1</f>
        <v>10</v>
      </c>
      <c r="M710" s="10" t="n">
        <f aca="false">K710/SUMIFS($K$6:$K$728,$I$6:$I$728,I710)</f>
        <v>0.0148148148148148</v>
      </c>
    </row>
    <row r="711" customFormat="false" ht="15" hidden="false" customHeight="false" outlineLevel="0" collapsed="false">
      <c r="I711" s="8" t="s">
        <v>27</v>
      </c>
      <c r="J711" s="8" t="s">
        <v>727</v>
      </c>
      <c r="K711" s="9" t="n">
        <v>2</v>
      </c>
      <c r="L711" s="8" t="n">
        <f aca="false">COUNTIFS($I$6:$I$728,I711,$K$6:$K$728,"&gt;"&amp;K711)+1</f>
        <v>10</v>
      </c>
      <c r="M711" s="10" t="n">
        <f aca="false">K711/SUMIFS($K$6:$K$728,$I$6:$I$728,I711)</f>
        <v>0.0148148148148148</v>
      </c>
    </row>
    <row r="712" customFormat="false" ht="15" hidden="false" customHeight="false" outlineLevel="0" collapsed="false">
      <c r="I712" s="8" t="s">
        <v>27</v>
      </c>
      <c r="J712" s="8" t="s">
        <v>728</v>
      </c>
      <c r="K712" s="9" t="n">
        <v>1</v>
      </c>
      <c r="L712" s="8" t="n">
        <f aca="false">COUNTIFS($I$6:$I$728,I712,$K$6:$K$728,"&gt;"&amp;K712)+1</f>
        <v>20</v>
      </c>
      <c r="M712" s="10" t="n">
        <f aca="false">K712/SUMIFS($K$6:$K$728,$I$6:$I$728,I712)</f>
        <v>0.00740740740740741</v>
      </c>
    </row>
    <row r="713" customFormat="false" ht="15" hidden="false" customHeight="false" outlineLevel="0" collapsed="false">
      <c r="I713" s="8" t="s">
        <v>27</v>
      </c>
      <c r="J713" s="8" t="s">
        <v>699</v>
      </c>
      <c r="K713" s="9" t="n">
        <v>1</v>
      </c>
      <c r="L713" s="8" t="n">
        <f aca="false">COUNTIFS($I$6:$I$728,I713,$K$6:$K$728,"&gt;"&amp;K713)+1</f>
        <v>20</v>
      </c>
      <c r="M713" s="10" t="n">
        <f aca="false">K713/SUMIFS($K$6:$K$728,$I$6:$I$728,I713)</f>
        <v>0.00740740740740741</v>
      </c>
    </row>
    <row r="714" customFormat="false" ht="15" hidden="false" customHeight="false" outlineLevel="0" collapsed="false">
      <c r="I714" s="8" t="s">
        <v>27</v>
      </c>
      <c r="J714" s="8" t="s">
        <v>729</v>
      </c>
      <c r="K714" s="9" t="n">
        <v>1</v>
      </c>
      <c r="L714" s="8" t="n">
        <f aca="false">COUNTIFS($I$6:$I$728,I714,$K$6:$K$728,"&gt;"&amp;K714)+1</f>
        <v>20</v>
      </c>
      <c r="M714" s="10" t="n">
        <f aca="false">K714/SUMIFS($K$6:$K$728,$I$6:$I$728,I714)</f>
        <v>0.00740740740740741</v>
      </c>
    </row>
    <row r="715" customFormat="false" ht="15" hidden="false" customHeight="false" outlineLevel="0" collapsed="false">
      <c r="I715" s="8" t="s">
        <v>27</v>
      </c>
      <c r="J715" s="8" t="s">
        <v>730</v>
      </c>
      <c r="K715" s="9" t="n">
        <v>1</v>
      </c>
      <c r="L715" s="8" t="n">
        <f aca="false">COUNTIFS($I$6:$I$728,I715,$K$6:$K$728,"&gt;"&amp;K715)+1</f>
        <v>20</v>
      </c>
      <c r="M715" s="10" t="n">
        <f aca="false">K715/SUMIFS($K$6:$K$728,$I$6:$I$728,I715)</f>
        <v>0.00740740740740741</v>
      </c>
    </row>
    <row r="716" customFormat="false" ht="15" hidden="false" customHeight="false" outlineLevel="0" collapsed="false">
      <c r="I716" s="8" t="s">
        <v>27</v>
      </c>
      <c r="J716" s="8" t="s">
        <v>731</v>
      </c>
      <c r="K716" s="9" t="n">
        <v>1</v>
      </c>
      <c r="L716" s="8" t="n">
        <f aca="false">COUNTIFS($I$6:$I$728,I716,$K$6:$K$728,"&gt;"&amp;K716)+1</f>
        <v>20</v>
      </c>
      <c r="M716" s="10" t="n">
        <f aca="false">K716/SUMIFS($K$6:$K$728,$I$6:$I$728,I716)</f>
        <v>0.00740740740740741</v>
      </c>
    </row>
    <row r="717" customFormat="false" ht="15" hidden="false" customHeight="false" outlineLevel="0" collapsed="false">
      <c r="I717" s="8" t="s">
        <v>27</v>
      </c>
      <c r="J717" s="8" t="s">
        <v>732</v>
      </c>
      <c r="K717" s="9" t="n">
        <v>1</v>
      </c>
      <c r="L717" s="8" t="n">
        <f aca="false">COUNTIFS($I$6:$I$728,I717,$K$6:$K$728,"&gt;"&amp;K717)+1</f>
        <v>20</v>
      </c>
      <c r="M717" s="10" t="n">
        <f aca="false">K717/SUMIFS($K$6:$K$728,$I$6:$I$728,I717)</f>
        <v>0.00740740740740741</v>
      </c>
    </row>
    <row r="718" customFormat="false" ht="15" hidden="false" customHeight="false" outlineLevel="0" collapsed="false">
      <c r="I718" s="8" t="s">
        <v>27</v>
      </c>
      <c r="J718" s="8" t="s">
        <v>733</v>
      </c>
      <c r="K718" s="9" t="n">
        <v>1</v>
      </c>
      <c r="L718" s="8" t="n">
        <f aca="false">COUNTIFS($I$6:$I$728,I718,$K$6:$K$728,"&gt;"&amp;K718)+1</f>
        <v>20</v>
      </c>
      <c r="M718" s="10" t="n">
        <f aca="false">K718/SUMIFS($K$6:$K$728,$I$6:$I$728,I718)</f>
        <v>0.00740740740740741</v>
      </c>
    </row>
    <row r="719" customFormat="false" ht="15" hidden="false" customHeight="false" outlineLevel="0" collapsed="false">
      <c r="I719" s="8" t="s">
        <v>27</v>
      </c>
      <c r="J719" s="8" t="s">
        <v>734</v>
      </c>
      <c r="K719" s="9" t="n">
        <v>1</v>
      </c>
      <c r="L719" s="8" t="n">
        <f aca="false">COUNTIFS($I$6:$I$728,I719,$K$6:$K$728,"&gt;"&amp;K719)+1</f>
        <v>20</v>
      </c>
      <c r="M719" s="10" t="n">
        <f aca="false">K719/SUMIFS($K$6:$K$728,$I$6:$I$728,I719)</f>
        <v>0.00740740740740741</v>
      </c>
    </row>
    <row r="720" customFormat="false" ht="15" hidden="false" customHeight="false" outlineLevel="0" collapsed="false">
      <c r="I720" s="8" t="s">
        <v>27</v>
      </c>
      <c r="J720" s="8" t="s">
        <v>735</v>
      </c>
      <c r="K720" s="9" t="n">
        <v>1</v>
      </c>
      <c r="L720" s="8" t="n">
        <f aca="false">COUNTIFS($I$6:$I$728,I720,$K$6:$K$728,"&gt;"&amp;K720)+1</f>
        <v>20</v>
      </c>
      <c r="M720" s="10" t="n">
        <f aca="false">K720/SUMIFS($K$6:$K$728,$I$6:$I$728,I720)</f>
        <v>0.00740740740740741</v>
      </c>
    </row>
    <row r="721" customFormat="false" ht="15" hidden="false" customHeight="false" outlineLevel="0" collapsed="false">
      <c r="I721" s="8" t="s">
        <v>27</v>
      </c>
      <c r="J721" s="8" t="s">
        <v>736</v>
      </c>
      <c r="K721" s="9" t="n">
        <v>1</v>
      </c>
      <c r="L721" s="8" t="n">
        <f aca="false">COUNTIFS($I$6:$I$728,I721,$K$6:$K$728,"&gt;"&amp;K721)+1</f>
        <v>20</v>
      </c>
      <c r="M721" s="10" t="n">
        <f aca="false">K721/SUMIFS($K$6:$K$728,$I$6:$I$728,I721)</f>
        <v>0.00740740740740741</v>
      </c>
    </row>
    <row r="722" customFormat="false" ht="15" hidden="false" customHeight="false" outlineLevel="0" collapsed="false">
      <c r="I722" s="8" t="s">
        <v>27</v>
      </c>
      <c r="J722" s="8" t="s">
        <v>737</v>
      </c>
      <c r="K722" s="9" t="n">
        <v>1</v>
      </c>
      <c r="L722" s="8" t="n">
        <f aca="false">COUNTIFS($I$6:$I$728,I722,$K$6:$K$728,"&gt;"&amp;K722)+1</f>
        <v>20</v>
      </c>
      <c r="M722" s="10" t="n">
        <f aca="false">K722/SUMIFS($K$6:$K$728,$I$6:$I$728,I722)</f>
        <v>0.00740740740740741</v>
      </c>
    </row>
    <row r="723" customFormat="false" ht="15" hidden="false" customHeight="false" outlineLevel="0" collapsed="false">
      <c r="I723" s="8" t="s">
        <v>27</v>
      </c>
      <c r="J723" s="8" t="s">
        <v>738</v>
      </c>
      <c r="K723" s="9" t="n">
        <v>1</v>
      </c>
      <c r="L723" s="8" t="n">
        <f aca="false">COUNTIFS($I$6:$I$728,I723,$K$6:$K$728,"&gt;"&amp;K723)+1</f>
        <v>20</v>
      </c>
      <c r="M723" s="10" t="n">
        <f aca="false">K723/SUMIFS($K$6:$K$728,$I$6:$I$728,I723)</f>
        <v>0.00740740740740741</v>
      </c>
    </row>
    <row r="724" customFormat="false" ht="15" hidden="false" customHeight="false" outlineLevel="0" collapsed="false">
      <c r="I724" s="8" t="s">
        <v>27</v>
      </c>
      <c r="J724" s="8" t="s">
        <v>739</v>
      </c>
      <c r="K724" s="9" t="n">
        <v>1</v>
      </c>
      <c r="L724" s="8" t="n">
        <f aca="false">COUNTIFS($I$6:$I$728,I724,$K$6:$K$728,"&gt;"&amp;K724)+1</f>
        <v>20</v>
      </c>
      <c r="M724" s="10" t="n">
        <f aca="false">K724/SUMIFS($K$6:$K$728,$I$6:$I$728,I724)</f>
        <v>0.00740740740740741</v>
      </c>
    </row>
    <row r="725" customFormat="false" ht="15" hidden="false" customHeight="false" outlineLevel="0" collapsed="false">
      <c r="I725" s="8" t="s">
        <v>27</v>
      </c>
      <c r="J725" s="8" t="s">
        <v>740</v>
      </c>
      <c r="K725" s="9" t="n">
        <v>1</v>
      </c>
      <c r="L725" s="8" t="n">
        <f aca="false">COUNTIFS($I$6:$I$728,I725,$K$6:$K$728,"&gt;"&amp;K725)+1</f>
        <v>20</v>
      </c>
      <c r="M725" s="10" t="n">
        <f aca="false">K725/SUMIFS($K$6:$K$728,$I$6:$I$728,I725)</f>
        <v>0.00740740740740741</v>
      </c>
    </row>
    <row r="726" customFormat="false" ht="15" hidden="false" customHeight="false" outlineLevel="0" collapsed="false">
      <c r="I726" s="8" t="s">
        <v>27</v>
      </c>
      <c r="J726" s="8" t="s">
        <v>741</v>
      </c>
      <c r="K726" s="9" t="n">
        <v>1</v>
      </c>
      <c r="L726" s="8" t="n">
        <f aca="false">COUNTIFS($I$6:$I$728,I726,$K$6:$K$728,"&gt;"&amp;K726)+1</f>
        <v>20</v>
      </c>
      <c r="M726" s="10" t="n">
        <f aca="false">K726/SUMIFS($K$6:$K$728,$I$6:$I$728,I726)</f>
        <v>0.00740740740740741</v>
      </c>
    </row>
    <row r="727" customFormat="false" ht="15" hidden="false" customHeight="false" outlineLevel="0" collapsed="false">
      <c r="I727" s="8" t="s">
        <v>27</v>
      </c>
      <c r="J727" s="8" t="s">
        <v>742</v>
      </c>
      <c r="K727" s="9" t="n">
        <v>1</v>
      </c>
      <c r="L727" s="8" t="n">
        <f aca="false">COUNTIFS($I$6:$I$728,I727,$K$6:$K$728,"&gt;"&amp;K727)+1</f>
        <v>20</v>
      </c>
      <c r="M727" s="10" t="n">
        <f aca="false">K727/SUMIFS($K$6:$K$728,$I$6:$I$728,I727)</f>
        <v>0.00740740740740741</v>
      </c>
    </row>
    <row r="728" customFormat="false" ht="15" hidden="false" customHeight="false" outlineLevel="0" collapsed="false">
      <c r="I728" s="8" t="s">
        <v>27</v>
      </c>
      <c r="J728" s="8" t="s">
        <v>743</v>
      </c>
      <c r="K728" s="9" t="n">
        <v>1</v>
      </c>
      <c r="L728" s="8" t="n">
        <f aca="false">COUNTIFS($I$6:$I$728,I728,$K$6:$K$728,"&gt;"&amp;K728)+1</f>
        <v>20</v>
      </c>
      <c r="M728" s="10" t="n">
        <f aca="false">K728/SUMIFS($K$6:$K$728,$I$6:$I$728,I728)</f>
        <v>0.00740740740740741</v>
      </c>
    </row>
  </sheetData>
  <autoFilter ref="I5:M728"/>
  <conditionalFormatting sqref="D20:D109">
    <cfRule type="dataBar" priority="2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{75B05F5F-EAD5-452A-B326-AC7945E7E45E}</x14:id>
        </ext>
      </extLst>
    </cfRule>
  </conditionalFormatting>
  <conditionalFormatting sqref="B6:B14">
    <cfRule type="dataBar" priority="3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{3F12C94C-15BC-47E9-9285-8CDDDA1DEF7E}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B05F5F-EAD5-452A-B326-AC7945E7E45E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D20:D109</xm:sqref>
        </x14:conditionalFormatting>
        <x14:conditionalFormatting xmlns:xm="http://schemas.microsoft.com/office/excel/2006/main">
          <x14:cfRule type="dataBar" id="{3F12C94C-15BC-47E9-9285-8CDDDA1DEF7E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B6:B14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2026-09-29T18:27:18Z</dcterms:created>
  <dc:creator>openpyxl</dc:creator>
  <dc:description/>
  <dc:language>en-US</dc:language>
  <cp:lastModifiedBy/>
  <dcterms:modified xsi:type="dcterms:W3CDTF">2026-09-29T18:27:18Z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