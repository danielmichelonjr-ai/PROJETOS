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etalhe por Cidade" sheetId="2" state="visible" r:id="rId2"/>
    <sheet name="Praz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+0.0%;-0.0%;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4" borderId="1" pivotButton="0" quotePrefix="0" xfId="0"/>
    <xf numFmtId="165" fontId="0" fillId="3" borderId="1" pivotButton="0" quotePrefix="0" xfId="0"/>
    <xf numFmtId="0" fontId="0" fillId="5" borderId="1" pivotButton="0" quotePrefix="0" xfId="0"/>
    <xf numFmtId="0" fontId="1" fillId="0" borderId="0" pivotButton="0" quotePrefix="0" xfId="0"/>
    <xf numFmtId="164" fontId="0" fillId="3" borderId="1" pivotButton="0" quotePrefix="0" xfId="0"/>
    <xf numFmtId="164" fontId="0" fillId="0" borderId="1" pivotButton="0" quotePrefix="0" xfId="0"/>
    <xf numFmtId="164" fontId="0" fillId="4" borderId="1" pivotButton="0" quotePrefix="0" xfId="0"/>
    <xf numFmtId="164" fontId="0" fillId="5" borderId="1" pivotButton="0" quotePrefix="0" xfId="0"/>
    <xf numFmtId="165" fontId="0" fillId="5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13" customWidth="1" min="4" max="4"/>
    <col width="11" customWidth="1" min="5" max="5"/>
    <col width="13" customWidth="1" min="6" max="6"/>
    <col width="75" customWidth="1" min="7" max="7"/>
  </cols>
  <sheetData>
    <row r="1">
      <c r="A1" s="1" t="inlineStr">
        <is>
          <t>Competitividade — Rápido Além Paraíba (Standard) | MG</t>
        </is>
      </c>
    </row>
    <row r="2">
      <c r="A2" t="inlineStr">
        <is>
          <t>Comparativo contra Atual Cargas Standard, Dominalog Express, JadLog Standard e Petrymar Transportes.</t>
        </is>
      </c>
    </row>
    <row r="4" ht="45" customHeight="1">
      <c r="A4" s="2" t="inlineStr">
        <is>
          <t>Cidade</t>
        </is>
      </c>
      <c r="B4" s="2" t="inlineStr">
        <is>
          <t>Faixas em que RAP é o mais barato (de 6)</t>
        </is>
      </c>
      <c r="C4" s="2" t="inlineStr">
        <is>
          <t>Dif. média RAP x melhor conc. (40–120 kg)</t>
        </is>
      </c>
      <c r="D4" s="2" t="inlineStr">
        <is>
          <t>Dif. em 20 kg</t>
        </is>
      </c>
      <c r="E4" s="2" t="inlineStr">
        <is>
          <t>Prazo RAP (dias)</t>
        </is>
      </c>
      <c r="F4" s="2" t="inlineStr">
        <is>
          <t>Menor prazo conc. (dias)</t>
        </is>
      </c>
      <c r="G4" s="2" t="inlineStr">
        <is>
          <t>Leitura</t>
        </is>
      </c>
    </row>
    <row r="5">
      <c r="A5" s="3" t="inlineStr">
        <is>
          <t>Belo Horizonte - 30330-040</t>
        </is>
      </c>
      <c r="B5" s="3" t="n">
        <v>4</v>
      </c>
      <c r="C5" s="4" t="n">
        <v>-0.1234256709493665</v>
      </c>
      <c r="D5" s="5" t="n">
        <v>0.3259350595972053</v>
      </c>
      <c r="E5" s="3" t="n">
        <v>16</v>
      </c>
      <c r="F5" s="3" t="n">
        <v>9</v>
      </c>
      <c r="G5" s="3" t="inlineStr">
        <is>
          <t>Líder de 40 a 100 kg; em 120 kg empata com Dominalog Express (+R$ 0,02); perde para JadLog em 20 kg; prazo 7 dias acima do mais rápido</t>
        </is>
      </c>
    </row>
    <row r="6">
      <c r="A6" s="3" t="inlineStr">
        <is>
          <t>Contagem - 32185-070</t>
        </is>
      </c>
      <c r="B6" s="3" t="n">
        <v>5</v>
      </c>
      <c r="C6" s="4" t="n">
        <v>-0.19079737706914</v>
      </c>
      <c r="D6" s="5" t="n">
        <v>0.3259350595972053</v>
      </c>
      <c r="E6" s="3" t="n">
        <v>16</v>
      </c>
      <c r="F6" s="3" t="n">
        <v>9</v>
      </c>
      <c r="G6" s="3" t="inlineStr">
        <is>
          <t>Líder de preço de 40 a 120 kg; perde para JadLog em 20 kg; prazo 7 dias acima do mais rápido</t>
        </is>
      </c>
    </row>
    <row r="7">
      <c r="A7" s="3" t="inlineStr">
        <is>
          <t>Juiz de Fora - 36072-650</t>
        </is>
      </c>
      <c r="B7" s="3" t="n">
        <v>5</v>
      </c>
      <c r="C7" s="4" t="n">
        <v>-0.3556460539801176</v>
      </c>
      <c r="D7" s="5" t="n">
        <v>0.2500332667997338</v>
      </c>
      <c r="E7" s="3" t="n">
        <v>16</v>
      </c>
      <c r="F7" s="3" t="n">
        <v>10</v>
      </c>
      <c r="G7" s="3" t="inlineStr">
        <is>
          <t>Líder de preço de 40 a 120 kg; perde para JadLog em 20 kg; prazo 6 dias acima do mais rápido</t>
        </is>
      </c>
    </row>
    <row r="8">
      <c r="A8" s="3" t="inlineStr">
        <is>
          <t>Uberlândia - 38413-012</t>
        </is>
      </c>
      <c r="B8" s="3" t="inlineStr">
        <is>
          <t>—</t>
        </is>
      </c>
      <c r="C8" s="3" t="n"/>
      <c r="D8" s="3" t="n"/>
      <c r="E8" s="3" t="n"/>
      <c r="F8" s="3" t="n"/>
      <c r="G8" s="6" t="inlineStr">
        <is>
          <t>Sem cotação da Rápido Standard para este CEP</t>
        </is>
      </c>
    </row>
    <row r="9">
      <c r="A9" s="3" t="inlineStr">
        <is>
          <t>Betim - 32681-824</t>
        </is>
      </c>
      <c r="B9" s="3" t="n">
        <v>5</v>
      </c>
      <c r="C9" s="4" t="n">
        <v>-0.19079737706914</v>
      </c>
      <c r="D9" s="5" t="n">
        <v>0.3259350595972053</v>
      </c>
      <c r="E9" s="3" t="n">
        <v>16</v>
      </c>
      <c r="F9" s="3" t="n">
        <v>9</v>
      </c>
      <c r="G9" s="3" t="inlineStr">
        <is>
          <t>Líder de preço de 40 a 120 kg; perde para JadLog em 20 kg; prazo 7 dias acima do mais rápido</t>
        </is>
      </c>
    </row>
    <row r="10">
      <c r="A10" s="3" t="inlineStr">
        <is>
          <t>Ribeirão das Neves - 33913-290</t>
        </is>
      </c>
      <c r="B10" s="3" t="n">
        <v>5</v>
      </c>
      <c r="C10" s="4" t="n">
        <v>-0.19079737706914</v>
      </c>
      <c r="D10" s="5" t="n">
        <v>0.2108094582759914</v>
      </c>
      <c r="E10" s="3" t="n">
        <v>16</v>
      </c>
      <c r="F10" s="3" t="n">
        <v>11</v>
      </c>
      <c r="G10" s="3" t="inlineStr">
        <is>
          <t>Líder de preço de 40 a 120 kg; perde para JadLog em 20 kg; prazo 5 dias acima do mais rápido</t>
        </is>
      </c>
    </row>
    <row r="11">
      <c r="A11" s="3" t="inlineStr">
        <is>
          <t>Montes Claros - 39401-488</t>
        </is>
      </c>
      <c r="B11" s="3" t="n">
        <v>5</v>
      </c>
      <c r="C11" s="4" t="n">
        <v>-0.130136938875213</v>
      </c>
      <c r="D11" s="5" t="n">
        <v>0.9016633399866931</v>
      </c>
      <c r="E11" s="3" t="n">
        <v>21</v>
      </c>
      <c r="F11" s="3" t="n">
        <v>10</v>
      </c>
      <c r="G11" s="3" t="inlineStr">
        <is>
          <t>Líder de preço de 40 a 120 kg; perde para JadLog em 20 kg; prazo 11 dias acima do mais rápido</t>
        </is>
      </c>
    </row>
    <row r="12">
      <c r="A12" s="3" t="inlineStr">
        <is>
          <t>Governador Valadares - 35052-856</t>
        </is>
      </c>
      <c r="B12" s="3" t="n">
        <v>5</v>
      </c>
      <c r="C12" s="4" t="n">
        <v>-0.130136938875213</v>
      </c>
      <c r="D12" s="5" t="n">
        <v>0.9016633399866931</v>
      </c>
      <c r="E12" s="3" t="n">
        <v>21</v>
      </c>
      <c r="F12" s="3" t="n">
        <v>10</v>
      </c>
      <c r="G12" s="3" t="inlineStr">
        <is>
          <t>Líder de preço de 40 a 120 kg; perde para JadLog em 20 kg; prazo 11 dias acima do mais rápido</t>
        </is>
      </c>
    </row>
    <row r="13">
      <c r="A13" s="3" t="inlineStr">
        <is>
          <t>Santa Luzia - 33015-580</t>
        </is>
      </c>
      <c r="B13" s="3" t="n">
        <v>5</v>
      </c>
      <c r="C13" s="4" t="n">
        <v>-0.19079737706914</v>
      </c>
      <c r="D13" s="5" t="n">
        <v>0.2108094582759914</v>
      </c>
      <c r="E13" s="3" t="n">
        <v>16</v>
      </c>
      <c r="F13" s="3" t="n">
        <v>10</v>
      </c>
      <c r="G13" s="3" t="inlineStr">
        <is>
          <t>Líder de preço de 40 a 120 kg; perde para JadLog em 20 kg; prazo 6 dias acima do mais rápido</t>
        </is>
      </c>
    </row>
    <row r="14">
      <c r="A14" s="3" t="inlineStr">
        <is>
          <t>Uberaba - 38037-590</t>
        </is>
      </c>
      <c r="B14" s="3" t="inlineStr">
        <is>
          <t>—</t>
        </is>
      </c>
      <c r="C14" s="3" t="n"/>
      <c r="D14" s="3" t="n"/>
      <c r="E14" s="3" t="n"/>
      <c r="F14" s="3" t="n"/>
      <c r="G14" s="6" t="inlineStr">
        <is>
          <t>Sem cotação da Rápido Standard para este CEP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15" customWidth="1" min="3" max="3"/>
    <col width="17" customWidth="1" min="4" max="4"/>
    <col width="17" customWidth="1" min="5" max="5"/>
    <col width="15" customWidth="1" min="6" max="6"/>
    <col width="17" customWidth="1" min="7" max="7"/>
    <col width="22" customWidth="1" min="8" max="8"/>
    <col width="15" customWidth="1" min="9" max="9"/>
    <col width="14" customWidth="1" min="10" max="10"/>
    <col width="11" customWidth="1" min="11" max="11"/>
  </cols>
  <sheetData>
    <row r="1">
      <c r="A1" s="7" t="inlineStr">
        <is>
          <t>Rápido Além Paraíba (Standard) x concorrentes válidos — preço por faixa de peso</t>
        </is>
      </c>
    </row>
    <row r="2">
      <c r="A2" t="inlineStr">
        <is>
          <t>Concorrentes considerados: Atual Cargas Standard, Dominalog Express, JadLog Standard, Petrymar Transportes. Excluídas conforme solicitado: Atual Cargas Filial SP, Dominalog Filial MG/SP, Rápido Além Paraíba Filial SP, Tradicional Log, Trilog Express.</t>
        </is>
      </c>
    </row>
    <row r="4">
      <c r="A4" s="2" t="inlineStr">
        <is>
          <t>Cidade</t>
        </is>
      </c>
      <c r="B4" s="2" t="inlineStr">
        <is>
          <t>Peso (kg)</t>
        </is>
      </c>
      <c r="C4" s="2" t="inlineStr">
        <is>
          <t>Rápido A.P. Std</t>
        </is>
      </c>
      <c r="D4" s="2" t="inlineStr">
        <is>
          <t>Atual Cargas Standard</t>
        </is>
      </c>
      <c r="E4" s="2" t="inlineStr">
        <is>
          <t>Dominalog Express</t>
        </is>
      </c>
      <c r="F4" s="2" t="inlineStr">
        <is>
          <t>JadLog Standard</t>
        </is>
      </c>
      <c r="G4" s="2" t="inlineStr">
        <is>
          <t>Petrymar Transportes</t>
        </is>
      </c>
      <c r="H4" s="2" t="inlineStr">
        <is>
          <t>Melhor concorrente</t>
        </is>
      </c>
      <c r="I4" s="2" t="inlineStr">
        <is>
          <t>Menor preço conc.</t>
        </is>
      </c>
      <c r="J4" s="2" t="inlineStr">
        <is>
          <t>Dif. RAP x melhor conc.</t>
        </is>
      </c>
      <c r="K4" s="2" t="inlineStr">
        <is>
          <t>Posição RAP (de 5)</t>
        </is>
      </c>
    </row>
    <row r="5">
      <c r="A5" s="3" t="inlineStr">
        <is>
          <t>Belo Horizonte - 30330-040</t>
        </is>
      </c>
      <c r="B5" s="3" t="n">
        <v>20</v>
      </c>
      <c r="C5" s="8" t="n">
        <v>96.78</v>
      </c>
      <c r="D5" s="9" t="n">
        <v>103.9</v>
      </c>
      <c r="E5" s="9" t="n">
        <v>110.9</v>
      </c>
      <c r="F5" s="9" t="n">
        <v>72.98999999999999</v>
      </c>
      <c r="G5" s="9" t="n">
        <v>239.53</v>
      </c>
      <c r="H5" s="3" t="inlineStr">
        <is>
          <t>JadLog Standard</t>
        </is>
      </c>
      <c r="I5" s="9" t="n">
        <v>72.98999999999999</v>
      </c>
      <c r="J5" s="5">
        <f>C5/MIN(D5:G5)-1</f>
        <v/>
      </c>
      <c r="K5" s="3">
        <f>COUNTIF(D5:G5,"&lt;"&amp;C5)+1</f>
        <v/>
      </c>
    </row>
    <row r="6">
      <c r="A6" s="3" t="inlineStr">
        <is>
          <t>Belo Horizonte - 30330-040</t>
        </is>
      </c>
      <c r="B6" s="3" t="n">
        <v>40</v>
      </c>
      <c r="C6" s="10" t="n">
        <v>111.8</v>
      </c>
      <c r="D6" s="9" t="n">
        <v>149.41</v>
      </c>
      <c r="E6" s="9" t="n">
        <v>143.26</v>
      </c>
      <c r="F6" s="9" t="n">
        <v>214.01</v>
      </c>
      <c r="G6" s="9" t="n">
        <v>248.53</v>
      </c>
      <c r="H6" s="3" t="inlineStr">
        <is>
          <t>Dominalog Express</t>
        </is>
      </c>
      <c r="I6" s="9" t="n">
        <v>143.26</v>
      </c>
      <c r="J6" s="4">
        <f>C6/MIN(D6:G6)-1</f>
        <v/>
      </c>
      <c r="K6" s="3">
        <f>COUNTIF(D6:G6,"&lt;"&amp;C6)+1</f>
        <v/>
      </c>
    </row>
    <row r="7">
      <c r="A7" s="3" t="inlineStr">
        <is>
          <t>Belo Horizonte - 30330-040</t>
        </is>
      </c>
      <c r="B7" s="3" t="n">
        <v>60</v>
      </c>
      <c r="C7" s="10" t="n">
        <v>134.88</v>
      </c>
      <c r="D7" s="9" t="n">
        <v>179.74</v>
      </c>
      <c r="E7" s="9" t="n">
        <v>163.65</v>
      </c>
      <c r="F7" s="9" t="n">
        <v>381.85</v>
      </c>
      <c r="G7" s="9" t="n">
        <v>275.55</v>
      </c>
      <c r="H7" s="3" t="inlineStr">
        <is>
          <t>Dominalog Express</t>
        </is>
      </c>
      <c r="I7" s="9" t="n">
        <v>163.65</v>
      </c>
      <c r="J7" s="4">
        <f>C7/MIN(D7:G7)-1</f>
        <v/>
      </c>
      <c r="K7" s="3">
        <f>COUNTIF(D7:G7,"&lt;"&amp;C7)+1</f>
        <v/>
      </c>
    </row>
    <row r="8">
      <c r="A8" s="3" t="inlineStr">
        <is>
          <t>Belo Horizonte - 30330-040</t>
        </is>
      </c>
      <c r="B8" s="3" t="n">
        <v>80</v>
      </c>
      <c r="C8" s="10" t="n">
        <v>164.81</v>
      </c>
      <c r="D8" s="9" t="n">
        <v>225.24</v>
      </c>
      <c r="E8" s="9" t="n">
        <v>204.41</v>
      </c>
      <c r="F8" s="9" t="n">
        <v>549.6900000000001</v>
      </c>
      <c r="G8" s="9" t="n">
        <v>284.53</v>
      </c>
      <c r="H8" s="3" t="inlineStr">
        <is>
          <t>Dominalog Express</t>
        </is>
      </c>
      <c r="I8" s="9" t="n">
        <v>204.41</v>
      </c>
      <c r="J8" s="4">
        <f>C8/MIN(D8:G8)-1</f>
        <v/>
      </c>
      <c r="K8" s="3">
        <f>COUNTIF(D8:G8,"&lt;"&amp;C8)+1</f>
        <v/>
      </c>
    </row>
    <row r="9">
      <c r="A9" s="3" t="inlineStr">
        <is>
          <t>Belo Horizonte - 30330-040</t>
        </is>
      </c>
      <c r="B9" s="3" t="n">
        <v>100</v>
      </c>
      <c r="C9" s="10" t="n">
        <v>198.67</v>
      </c>
      <c r="D9" s="9" t="n">
        <v>225.24</v>
      </c>
      <c r="E9" s="9" t="n">
        <v>204.41</v>
      </c>
      <c r="F9" s="9" t="n">
        <v>717.53</v>
      </c>
      <c r="G9" s="9" t="n">
        <v>284.53</v>
      </c>
      <c r="H9" s="3" t="inlineStr">
        <is>
          <t>Dominalog Express</t>
        </is>
      </c>
      <c r="I9" s="9" t="n">
        <v>204.41</v>
      </c>
      <c r="J9" s="4">
        <f>C9/MIN(D9:G9)-1</f>
        <v/>
      </c>
      <c r="K9" s="3">
        <f>COUNTIF(D9:G9,"&lt;"&amp;C9)+1</f>
        <v/>
      </c>
    </row>
    <row r="10">
      <c r="A10" s="3" t="inlineStr">
        <is>
          <t>Belo Horizonte - 30330-040</t>
        </is>
      </c>
      <c r="B10" s="3" t="n">
        <v>120</v>
      </c>
      <c r="C10" s="11" t="n">
        <v>239.55</v>
      </c>
      <c r="D10" s="9" t="n">
        <v>266.77</v>
      </c>
      <c r="E10" s="9" t="n">
        <v>239.53</v>
      </c>
      <c r="F10" s="9" t="n">
        <v>885.38</v>
      </c>
      <c r="G10" s="9" t="n">
        <v>331.37</v>
      </c>
      <c r="H10" s="3" t="inlineStr">
        <is>
          <t>Dominalog Express</t>
        </is>
      </c>
      <c r="I10" s="9" t="n">
        <v>239.53</v>
      </c>
      <c r="J10" s="12">
        <f>C10/MIN(D10:G10)-1</f>
        <v/>
      </c>
      <c r="K10" s="3">
        <f>COUNTIF(D10:G10,"&lt;"&amp;C10)+1</f>
        <v/>
      </c>
    </row>
    <row r="11">
      <c r="A11" s="3" t="inlineStr">
        <is>
          <t>Contagem - 32185-070</t>
        </is>
      </c>
      <c r="B11" s="3" t="n">
        <v>20</v>
      </c>
      <c r="C11" s="8" t="n">
        <v>96.78</v>
      </c>
      <c r="D11" s="9" t="n">
        <v>103.9</v>
      </c>
      <c r="E11" s="9" t="n">
        <v>118.09</v>
      </c>
      <c r="F11" s="9" t="n">
        <v>72.98999999999999</v>
      </c>
      <c r="G11" s="9" t="n">
        <v>239.53</v>
      </c>
      <c r="H11" s="3" t="inlineStr">
        <is>
          <t>JadLog Standard</t>
        </is>
      </c>
      <c r="I11" s="9" t="n">
        <v>72.98999999999999</v>
      </c>
      <c r="J11" s="5">
        <f>C11/MIN(D11:G11)-1</f>
        <v/>
      </c>
      <c r="K11" s="3">
        <f>COUNTIF(D11:G11,"&lt;"&amp;C11)+1</f>
        <v/>
      </c>
    </row>
    <row r="12">
      <c r="A12" s="3" t="inlineStr">
        <is>
          <t>Contagem - 32185-070</t>
        </is>
      </c>
      <c r="B12" s="3" t="n">
        <v>40</v>
      </c>
      <c r="C12" s="10" t="n">
        <v>111.8</v>
      </c>
      <c r="D12" s="9" t="n">
        <v>149.41</v>
      </c>
      <c r="E12" s="9" t="n">
        <v>152.85</v>
      </c>
      <c r="F12" s="9" t="n">
        <v>214.01</v>
      </c>
      <c r="G12" s="9" t="n">
        <v>248.53</v>
      </c>
      <c r="H12" s="3" t="inlineStr">
        <is>
          <t>Atual Cargas Standard</t>
        </is>
      </c>
      <c r="I12" s="9" t="n">
        <v>149.41</v>
      </c>
      <c r="J12" s="4">
        <f>C12/MIN(D12:G12)-1</f>
        <v/>
      </c>
      <c r="K12" s="3">
        <f>COUNTIF(D12:G12,"&lt;"&amp;C12)+1</f>
        <v/>
      </c>
    </row>
    <row r="13">
      <c r="A13" s="3" t="inlineStr">
        <is>
          <t>Contagem - 32185-070</t>
        </is>
      </c>
      <c r="B13" s="3" t="n">
        <v>60</v>
      </c>
      <c r="C13" s="10" t="n">
        <v>134.88</v>
      </c>
      <c r="D13" s="9" t="n">
        <v>179.74</v>
      </c>
      <c r="E13" s="9" t="n">
        <v>191.22</v>
      </c>
      <c r="F13" s="9" t="n">
        <v>381.85</v>
      </c>
      <c r="G13" s="9" t="n">
        <v>275.55</v>
      </c>
      <c r="H13" s="3" t="inlineStr">
        <is>
          <t>Atual Cargas Standard</t>
        </is>
      </c>
      <c r="I13" s="9" t="n">
        <v>179.74</v>
      </c>
      <c r="J13" s="4">
        <f>C13/MIN(D13:G13)-1</f>
        <v/>
      </c>
      <c r="K13" s="3">
        <f>COUNTIF(D13:G13,"&lt;"&amp;C13)+1</f>
        <v/>
      </c>
    </row>
    <row r="14">
      <c r="A14" s="3" t="inlineStr">
        <is>
          <t>Contagem - 32185-070</t>
        </is>
      </c>
      <c r="B14" s="3" t="n">
        <v>80</v>
      </c>
      <c r="C14" s="10" t="n">
        <v>164.81</v>
      </c>
      <c r="D14" s="9" t="n">
        <v>225.24</v>
      </c>
      <c r="E14" s="9" t="n">
        <v>223.59</v>
      </c>
      <c r="F14" s="9" t="n">
        <v>549.6900000000001</v>
      </c>
      <c r="G14" s="9" t="n">
        <v>284.53</v>
      </c>
      <c r="H14" s="3" t="inlineStr">
        <is>
          <t>Dominalog Express</t>
        </is>
      </c>
      <c r="I14" s="9" t="n">
        <v>223.59</v>
      </c>
      <c r="J14" s="4">
        <f>C14/MIN(D14:G14)-1</f>
        <v/>
      </c>
      <c r="K14" s="3">
        <f>COUNTIF(D14:G14,"&lt;"&amp;C14)+1</f>
        <v/>
      </c>
    </row>
    <row r="15">
      <c r="A15" s="3" t="inlineStr">
        <is>
          <t>Contagem - 32185-070</t>
        </is>
      </c>
      <c r="B15" s="3" t="n">
        <v>100</v>
      </c>
      <c r="C15" s="10" t="n">
        <v>198.67</v>
      </c>
      <c r="D15" s="9" t="n">
        <v>225.24</v>
      </c>
      <c r="E15" s="9" t="n">
        <v>223.59</v>
      </c>
      <c r="F15" s="9" t="n">
        <v>717.53</v>
      </c>
      <c r="G15" s="9" t="n">
        <v>284.53</v>
      </c>
      <c r="H15" s="3" t="inlineStr">
        <is>
          <t>Dominalog Express</t>
        </is>
      </c>
      <c r="I15" s="9" t="n">
        <v>223.59</v>
      </c>
      <c r="J15" s="4">
        <f>C15/MIN(D15:G15)-1</f>
        <v/>
      </c>
      <c r="K15" s="3">
        <f>COUNTIF(D15:G15,"&lt;"&amp;C15)+1</f>
        <v/>
      </c>
    </row>
    <row r="16">
      <c r="A16" s="3" t="inlineStr">
        <is>
          <t>Contagem - 32185-070</t>
        </is>
      </c>
      <c r="B16" s="3" t="n">
        <v>120</v>
      </c>
      <c r="C16" s="10" t="n">
        <v>239.55</v>
      </c>
      <c r="D16" s="9" t="n">
        <v>266.77</v>
      </c>
      <c r="E16" s="9" t="n">
        <v>259.91</v>
      </c>
      <c r="F16" s="9" t="n">
        <v>885.38</v>
      </c>
      <c r="G16" s="9" t="n">
        <v>331.37</v>
      </c>
      <c r="H16" s="3" t="inlineStr">
        <is>
          <t>Dominalog Express</t>
        </is>
      </c>
      <c r="I16" s="9" t="n">
        <v>259.91</v>
      </c>
      <c r="J16" s="4">
        <f>C16/MIN(D16:G16)-1</f>
        <v/>
      </c>
      <c r="K16" s="3">
        <f>COUNTIF(D16:G16,"&lt;"&amp;C16)+1</f>
        <v/>
      </c>
    </row>
    <row r="17">
      <c r="A17" s="3" t="inlineStr">
        <is>
          <t>Juiz de Fora - 36072-650</t>
        </is>
      </c>
      <c r="B17" s="3" t="n">
        <v>20</v>
      </c>
      <c r="C17" s="8" t="n">
        <v>93.94</v>
      </c>
      <c r="D17" s="9" t="n">
        <v>132.36</v>
      </c>
      <c r="E17" s="9" t="n">
        <v>127.68</v>
      </c>
      <c r="F17" s="9" t="n">
        <v>75.15000000000001</v>
      </c>
      <c r="G17" s="9" t="n">
        <v>329.52</v>
      </c>
      <c r="H17" s="3" t="inlineStr">
        <is>
          <t>JadLog Standard</t>
        </is>
      </c>
      <c r="I17" s="9" t="n">
        <v>75.15000000000001</v>
      </c>
      <c r="J17" s="5">
        <f>C17/MIN(D17:G17)-1</f>
        <v/>
      </c>
      <c r="K17" s="3">
        <f>COUNTIF(D17:G17,"&lt;"&amp;C17)+1</f>
        <v/>
      </c>
    </row>
    <row r="18">
      <c r="A18" s="3" t="inlineStr">
        <is>
          <t>Juiz de Fora - 36072-650</t>
        </is>
      </c>
      <c r="B18" s="3" t="n">
        <v>40</v>
      </c>
      <c r="C18" s="10" t="n">
        <v>108.53</v>
      </c>
      <c r="D18" s="9" t="n">
        <v>200.39</v>
      </c>
      <c r="E18" s="9" t="n">
        <v>173.24</v>
      </c>
      <c r="F18" s="9" t="n">
        <v>223.22</v>
      </c>
      <c r="G18" s="9" t="n">
        <v>347.53</v>
      </c>
      <c r="H18" s="3" t="inlineStr">
        <is>
          <t>Dominalog Express</t>
        </is>
      </c>
      <c r="I18" s="9" t="n">
        <v>173.24</v>
      </c>
      <c r="J18" s="4">
        <f>C18/MIN(D18:G18)-1</f>
        <v/>
      </c>
      <c r="K18" s="3">
        <f>COUNTIF(D18:G18,"&lt;"&amp;C18)+1</f>
        <v/>
      </c>
    </row>
    <row r="19">
      <c r="A19" s="3" t="inlineStr">
        <is>
          <t>Juiz de Fora - 36072-650</t>
        </is>
      </c>
      <c r="B19" s="3" t="n">
        <v>60</v>
      </c>
      <c r="C19" s="10" t="n">
        <v>131.13</v>
      </c>
      <c r="D19" s="9" t="n">
        <v>245.74</v>
      </c>
      <c r="E19" s="9" t="n">
        <v>218.8</v>
      </c>
      <c r="F19" s="9" t="n">
        <v>399.45</v>
      </c>
      <c r="G19" s="9" t="n">
        <v>356.53</v>
      </c>
      <c r="H19" s="3" t="inlineStr">
        <is>
          <t>Dominalog Express</t>
        </is>
      </c>
      <c r="I19" s="9" t="n">
        <v>218.8</v>
      </c>
      <c r="J19" s="4">
        <f>C19/MIN(D19:G19)-1</f>
        <v/>
      </c>
      <c r="K19" s="3">
        <f>COUNTIF(D19:G19,"&lt;"&amp;C19)+1</f>
        <v/>
      </c>
    </row>
    <row r="20">
      <c r="A20" s="3" t="inlineStr">
        <is>
          <t>Juiz de Fora - 36072-650</t>
        </is>
      </c>
      <c r="B20" s="3" t="n">
        <v>80</v>
      </c>
      <c r="C20" s="10" t="n">
        <v>160.31</v>
      </c>
      <c r="D20" s="9" t="n">
        <v>313.76</v>
      </c>
      <c r="E20" s="9" t="n">
        <v>263.15</v>
      </c>
      <c r="F20" s="9" t="n">
        <v>575.6799999999999</v>
      </c>
      <c r="G20" s="9" t="n">
        <v>410.53</v>
      </c>
      <c r="H20" s="3" t="inlineStr">
        <is>
          <t>Dominalog Express</t>
        </is>
      </c>
      <c r="I20" s="9" t="n">
        <v>263.15</v>
      </c>
      <c r="J20" s="4">
        <f>C20/MIN(D20:G20)-1</f>
        <v/>
      </c>
      <c r="K20" s="3">
        <f>COUNTIF(D20:G20,"&lt;"&amp;C20)+1</f>
        <v/>
      </c>
    </row>
    <row r="21">
      <c r="A21" s="3" t="inlineStr">
        <is>
          <t>Juiz de Fora - 36072-650</t>
        </is>
      </c>
      <c r="B21" s="3" t="n">
        <v>100</v>
      </c>
      <c r="C21" s="10" t="n">
        <v>183.06</v>
      </c>
      <c r="D21" s="9" t="n">
        <v>313.76</v>
      </c>
      <c r="E21" s="9" t="n">
        <v>263.15</v>
      </c>
      <c r="F21" s="9" t="n">
        <v>751.92</v>
      </c>
      <c r="G21" s="9" t="n">
        <v>410.53</v>
      </c>
      <c r="H21" s="3" t="inlineStr">
        <is>
          <t>Dominalog Express</t>
        </is>
      </c>
      <c r="I21" s="9" t="n">
        <v>263.15</v>
      </c>
      <c r="J21" s="4">
        <f>C21/MIN(D21:G21)-1</f>
        <v/>
      </c>
      <c r="K21" s="3">
        <f>COUNTIF(D21:G21,"&lt;"&amp;C21)+1</f>
        <v/>
      </c>
    </row>
    <row r="22">
      <c r="A22" s="3" t="inlineStr">
        <is>
          <t>Juiz de Fora - 36072-650</t>
        </is>
      </c>
      <c r="B22" s="3" t="n">
        <v>120</v>
      </c>
      <c r="C22" s="10" t="n">
        <v>217.75</v>
      </c>
      <c r="D22" s="9" t="n">
        <v>370.52</v>
      </c>
      <c r="E22" s="9" t="n">
        <v>315.06</v>
      </c>
      <c r="F22" s="9" t="n">
        <v>928.15</v>
      </c>
      <c r="G22" s="9" t="n">
        <v>471.77</v>
      </c>
      <c r="H22" s="3" t="inlineStr">
        <is>
          <t>Dominalog Express</t>
        </is>
      </c>
      <c r="I22" s="9" t="n">
        <v>315.06</v>
      </c>
      <c r="J22" s="4">
        <f>C22/MIN(D22:G22)-1</f>
        <v/>
      </c>
      <c r="K22" s="3">
        <f>COUNTIF(D22:G22,"&lt;"&amp;C22)+1</f>
        <v/>
      </c>
    </row>
    <row r="23">
      <c r="A23" s="3" t="inlineStr">
        <is>
          <t>Uberlândia - 38413-012</t>
        </is>
      </c>
      <c r="B23" s="3" t="n"/>
      <c r="C23" s="6" t="inlineStr">
        <is>
          <t>Sem cotação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3" t="inlineStr">
        <is>
          <t>Betim - 32681-824</t>
        </is>
      </c>
      <c r="B24" s="3" t="n">
        <v>20</v>
      </c>
      <c r="C24" s="8" t="n">
        <v>96.78</v>
      </c>
      <c r="D24" s="9" t="n">
        <v>103.9</v>
      </c>
      <c r="E24" s="9" t="n">
        <v>118.09</v>
      </c>
      <c r="F24" s="9" t="n">
        <v>72.98999999999999</v>
      </c>
      <c r="G24" s="9" t="n">
        <v>239.53</v>
      </c>
      <c r="H24" s="3" t="inlineStr">
        <is>
          <t>JadLog Standard</t>
        </is>
      </c>
      <c r="I24" s="9" t="n">
        <v>72.98999999999999</v>
      </c>
      <c r="J24" s="5">
        <f>C24/MIN(D24:G24)-1</f>
        <v/>
      </c>
      <c r="K24" s="3">
        <f>COUNTIF(D24:G24,"&lt;"&amp;C24)+1</f>
        <v/>
      </c>
    </row>
    <row r="25">
      <c r="A25" s="3" t="inlineStr">
        <is>
          <t>Betim - 32681-824</t>
        </is>
      </c>
      <c r="B25" s="3" t="n">
        <v>40</v>
      </c>
      <c r="C25" s="10" t="n">
        <v>111.8</v>
      </c>
      <c r="D25" s="9" t="n">
        <v>149.41</v>
      </c>
      <c r="E25" s="9" t="n">
        <v>152.85</v>
      </c>
      <c r="F25" s="9" t="n">
        <v>214.01</v>
      </c>
      <c r="G25" s="9" t="n">
        <v>248.53</v>
      </c>
      <c r="H25" s="3" t="inlineStr">
        <is>
          <t>Atual Cargas Standard</t>
        </is>
      </c>
      <c r="I25" s="9" t="n">
        <v>149.41</v>
      </c>
      <c r="J25" s="4">
        <f>C25/MIN(D25:G25)-1</f>
        <v/>
      </c>
      <c r="K25" s="3">
        <f>COUNTIF(D25:G25,"&lt;"&amp;C25)+1</f>
        <v/>
      </c>
    </row>
    <row r="26">
      <c r="A26" s="3" t="inlineStr">
        <is>
          <t>Betim - 32681-824</t>
        </is>
      </c>
      <c r="B26" s="3" t="n">
        <v>60</v>
      </c>
      <c r="C26" s="10" t="n">
        <v>134.88</v>
      </c>
      <c r="D26" s="9" t="n">
        <v>179.74</v>
      </c>
      <c r="E26" s="9" t="n">
        <v>191.22</v>
      </c>
      <c r="F26" s="9" t="n">
        <v>381.85</v>
      </c>
      <c r="G26" s="9" t="n">
        <v>275.55</v>
      </c>
      <c r="H26" s="3" t="inlineStr">
        <is>
          <t>Atual Cargas Standard</t>
        </is>
      </c>
      <c r="I26" s="9" t="n">
        <v>179.74</v>
      </c>
      <c r="J26" s="4">
        <f>C26/MIN(D26:G26)-1</f>
        <v/>
      </c>
      <c r="K26" s="3">
        <f>COUNTIF(D26:G26,"&lt;"&amp;C26)+1</f>
        <v/>
      </c>
    </row>
    <row r="27">
      <c r="A27" s="3" t="inlineStr">
        <is>
          <t>Betim - 32681-824</t>
        </is>
      </c>
      <c r="B27" s="3" t="n">
        <v>80</v>
      </c>
      <c r="C27" s="10" t="n">
        <v>164.81</v>
      </c>
      <c r="D27" s="9" t="n">
        <v>225.24</v>
      </c>
      <c r="E27" s="9" t="n">
        <v>223.59</v>
      </c>
      <c r="F27" s="9" t="n">
        <v>549.6900000000001</v>
      </c>
      <c r="G27" s="9" t="n">
        <v>284.53</v>
      </c>
      <c r="H27" s="3" t="inlineStr">
        <is>
          <t>Dominalog Express</t>
        </is>
      </c>
      <c r="I27" s="9" t="n">
        <v>223.59</v>
      </c>
      <c r="J27" s="4">
        <f>C27/MIN(D27:G27)-1</f>
        <v/>
      </c>
      <c r="K27" s="3">
        <f>COUNTIF(D27:G27,"&lt;"&amp;C27)+1</f>
        <v/>
      </c>
    </row>
    <row r="28">
      <c r="A28" s="3" t="inlineStr">
        <is>
          <t>Betim - 32681-824</t>
        </is>
      </c>
      <c r="B28" s="3" t="n">
        <v>100</v>
      </c>
      <c r="C28" s="10" t="n">
        <v>198.67</v>
      </c>
      <c r="D28" s="9" t="n">
        <v>225.24</v>
      </c>
      <c r="E28" s="9" t="n">
        <v>223.59</v>
      </c>
      <c r="F28" s="9" t="n">
        <v>717.53</v>
      </c>
      <c r="G28" s="9" t="n">
        <v>284.53</v>
      </c>
      <c r="H28" s="3" t="inlineStr">
        <is>
          <t>Dominalog Express</t>
        </is>
      </c>
      <c r="I28" s="9" t="n">
        <v>223.59</v>
      </c>
      <c r="J28" s="4">
        <f>C28/MIN(D28:G28)-1</f>
        <v/>
      </c>
      <c r="K28" s="3">
        <f>COUNTIF(D28:G28,"&lt;"&amp;C28)+1</f>
        <v/>
      </c>
    </row>
    <row r="29">
      <c r="A29" s="3" t="inlineStr">
        <is>
          <t>Betim - 32681-824</t>
        </is>
      </c>
      <c r="B29" s="3" t="n">
        <v>120</v>
      </c>
      <c r="C29" s="10" t="n">
        <v>239.55</v>
      </c>
      <c r="D29" s="9" t="n">
        <v>266.77</v>
      </c>
      <c r="E29" s="9" t="n">
        <v>259.91</v>
      </c>
      <c r="F29" s="9" t="n">
        <v>885.38</v>
      </c>
      <c r="G29" s="9" t="n">
        <v>331.37</v>
      </c>
      <c r="H29" s="3" t="inlineStr">
        <is>
          <t>Dominalog Express</t>
        </is>
      </c>
      <c r="I29" s="9" t="n">
        <v>259.91</v>
      </c>
      <c r="J29" s="4">
        <f>C29/MIN(D29:G29)-1</f>
        <v/>
      </c>
      <c r="K29" s="3">
        <f>COUNTIF(D29:G29,"&lt;"&amp;C29)+1</f>
        <v/>
      </c>
    </row>
    <row r="30">
      <c r="A30" s="3" t="inlineStr">
        <is>
          <t>Ribeirão das Neves - 33913-290</t>
        </is>
      </c>
      <c r="B30" s="3" t="n">
        <v>20</v>
      </c>
      <c r="C30" s="8" t="n">
        <v>96.78</v>
      </c>
      <c r="D30" s="9" t="n">
        <v>103.9</v>
      </c>
      <c r="E30" s="9" t="n">
        <v>118.09</v>
      </c>
      <c r="F30" s="9" t="n">
        <v>79.93000000000001</v>
      </c>
      <c r="G30" s="9" t="n">
        <v>329.52</v>
      </c>
      <c r="H30" s="3" t="inlineStr">
        <is>
          <t>JadLog Standard</t>
        </is>
      </c>
      <c r="I30" s="9" t="n">
        <v>79.93000000000001</v>
      </c>
      <c r="J30" s="5">
        <f>C30/MIN(D30:G30)-1</f>
        <v/>
      </c>
      <c r="K30" s="3">
        <f>COUNTIF(D30:G30,"&lt;"&amp;C30)+1</f>
        <v/>
      </c>
    </row>
    <row r="31">
      <c r="A31" s="3" t="inlineStr">
        <is>
          <t>Ribeirão das Neves - 33913-290</t>
        </is>
      </c>
      <c r="B31" s="3" t="n">
        <v>40</v>
      </c>
      <c r="C31" s="10" t="n">
        <v>111.8</v>
      </c>
      <c r="D31" s="9" t="n">
        <v>149.41</v>
      </c>
      <c r="E31" s="9" t="n">
        <v>152.85</v>
      </c>
      <c r="F31" s="9" t="n">
        <v>242.39</v>
      </c>
      <c r="G31" s="9" t="n">
        <v>347.53</v>
      </c>
      <c r="H31" s="3" t="inlineStr">
        <is>
          <t>Atual Cargas Standard</t>
        </is>
      </c>
      <c r="I31" s="9" t="n">
        <v>149.41</v>
      </c>
      <c r="J31" s="4">
        <f>C31/MIN(D31:G31)-1</f>
        <v/>
      </c>
      <c r="K31" s="3">
        <f>COUNTIF(D31:G31,"&lt;"&amp;C31)+1</f>
        <v/>
      </c>
    </row>
    <row r="32">
      <c r="A32" s="3" t="inlineStr">
        <is>
          <t>Ribeirão das Neves - 33913-290</t>
        </is>
      </c>
      <c r="B32" s="3" t="n">
        <v>60</v>
      </c>
      <c r="C32" s="10" t="n">
        <v>134.88</v>
      </c>
      <c r="D32" s="9" t="n">
        <v>179.74</v>
      </c>
      <c r="E32" s="9" t="n">
        <v>191.22</v>
      </c>
      <c r="F32" s="9" t="n">
        <v>435.4</v>
      </c>
      <c r="G32" s="9" t="n">
        <v>356.53</v>
      </c>
      <c r="H32" s="3" t="inlineStr">
        <is>
          <t>Atual Cargas Standard</t>
        </is>
      </c>
      <c r="I32" s="9" t="n">
        <v>179.74</v>
      </c>
      <c r="J32" s="4">
        <f>C32/MIN(D32:G32)-1</f>
        <v/>
      </c>
      <c r="K32" s="3">
        <f>COUNTIF(D32:G32,"&lt;"&amp;C32)+1</f>
        <v/>
      </c>
    </row>
    <row r="33">
      <c r="A33" s="3" t="inlineStr">
        <is>
          <t>Ribeirão das Neves - 33913-290</t>
        </is>
      </c>
      <c r="B33" s="3" t="n">
        <v>80</v>
      </c>
      <c r="C33" s="10" t="n">
        <v>164.81</v>
      </c>
      <c r="D33" s="9" t="n">
        <v>225.24</v>
      </c>
      <c r="E33" s="9" t="n">
        <v>223.59</v>
      </c>
      <c r="F33" s="9" t="n">
        <v>628.42</v>
      </c>
      <c r="G33" s="9" t="n">
        <v>410.53</v>
      </c>
      <c r="H33" s="3" t="inlineStr">
        <is>
          <t>Dominalog Express</t>
        </is>
      </c>
      <c r="I33" s="9" t="n">
        <v>223.59</v>
      </c>
      <c r="J33" s="4">
        <f>C33/MIN(D33:G33)-1</f>
        <v/>
      </c>
      <c r="K33" s="3">
        <f>COUNTIF(D33:G33,"&lt;"&amp;C33)+1</f>
        <v/>
      </c>
    </row>
    <row r="34">
      <c r="A34" s="3" t="inlineStr">
        <is>
          <t>Ribeirão das Neves - 33913-290</t>
        </is>
      </c>
      <c r="B34" s="3" t="n">
        <v>100</v>
      </c>
      <c r="C34" s="10" t="n">
        <v>198.67</v>
      </c>
      <c r="D34" s="9" t="n">
        <v>225.24</v>
      </c>
      <c r="E34" s="9" t="n">
        <v>223.59</v>
      </c>
      <c r="F34" s="9" t="n">
        <v>821.4299999999999</v>
      </c>
      <c r="G34" s="9" t="n">
        <v>410.53</v>
      </c>
      <c r="H34" s="3" t="inlineStr">
        <is>
          <t>Dominalog Express</t>
        </is>
      </c>
      <c r="I34" s="9" t="n">
        <v>223.59</v>
      </c>
      <c r="J34" s="4">
        <f>C34/MIN(D34:G34)-1</f>
        <v/>
      </c>
      <c r="K34" s="3">
        <f>COUNTIF(D34:G34,"&lt;"&amp;C34)+1</f>
        <v/>
      </c>
    </row>
    <row r="35">
      <c r="A35" s="3" t="inlineStr">
        <is>
          <t>Ribeirão das Neves - 33913-290</t>
        </is>
      </c>
      <c r="B35" s="3" t="n">
        <v>120</v>
      </c>
      <c r="C35" s="10" t="n">
        <v>239.55</v>
      </c>
      <c r="D35" s="9" t="n">
        <v>266.77</v>
      </c>
      <c r="E35" s="9" t="n">
        <v>259.91</v>
      </c>
      <c r="F35" s="9" t="n">
        <v>1014.45</v>
      </c>
      <c r="G35" s="9" t="n">
        <v>471.77</v>
      </c>
      <c r="H35" s="3" t="inlineStr">
        <is>
          <t>Dominalog Express</t>
        </is>
      </c>
      <c r="I35" s="9" t="n">
        <v>259.91</v>
      </c>
      <c r="J35" s="4">
        <f>C35/MIN(D35:G35)-1</f>
        <v/>
      </c>
      <c r="K35" s="3">
        <f>COUNTIF(D35:G35,"&lt;"&amp;C35)+1</f>
        <v/>
      </c>
    </row>
    <row r="36">
      <c r="A36" s="3" t="inlineStr">
        <is>
          <t>Montes Claros - 39401-488</t>
        </is>
      </c>
      <c r="B36" s="3" t="n">
        <v>20</v>
      </c>
      <c r="C36" s="8" t="n">
        <v>142.91</v>
      </c>
      <c r="D36" s="9" t="n">
        <v>144.94</v>
      </c>
      <c r="E36" s="9" t="n">
        <v>140.86</v>
      </c>
      <c r="F36" s="9" t="n">
        <v>75.15000000000001</v>
      </c>
      <c r="G36" s="9" t="n">
        <v>329.52</v>
      </c>
      <c r="H36" s="3" t="inlineStr">
        <is>
          <t>JadLog Standard</t>
        </is>
      </c>
      <c r="I36" s="9" t="n">
        <v>75.15000000000001</v>
      </c>
      <c r="J36" s="5">
        <f>C36/MIN(D36:G36)-1</f>
        <v/>
      </c>
      <c r="K36" s="3">
        <f>COUNTIF(D36:G36,"&lt;"&amp;C36)+1</f>
        <v/>
      </c>
    </row>
    <row r="37">
      <c r="A37" s="3" t="inlineStr">
        <is>
          <t>Montes Claros - 39401-488</t>
        </is>
      </c>
      <c r="B37" s="3" t="n">
        <v>40</v>
      </c>
      <c r="C37" s="10" t="n">
        <v>166.31</v>
      </c>
      <c r="D37" s="9" t="n">
        <v>223.18</v>
      </c>
      <c r="E37" s="9" t="n">
        <v>192.42</v>
      </c>
      <c r="F37" s="9" t="n">
        <v>223.22</v>
      </c>
      <c r="G37" s="9" t="n">
        <v>347.53</v>
      </c>
      <c r="H37" s="3" t="inlineStr">
        <is>
          <t>Dominalog Express</t>
        </is>
      </c>
      <c r="I37" s="9" t="n">
        <v>192.42</v>
      </c>
      <c r="J37" s="4">
        <f>C37/MIN(D37:G37)-1</f>
        <v/>
      </c>
      <c r="K37" s="3">
        <f>COUNTIF(D37:G37,"&lt;"&amp;C37)+1</f>
        <v/>
      </c>
    </row>
    <row r="38">
      <c r="A38" s="3" t="inlineStr">
        <is>
          <t>Montes Claros - 39401-488</t>
        </is>
      </c>
      <c r="B38" s="3" t="n">
        <v>60</v>
      </c>
      <c r="C38" s="10" t="n">
        <v>197.56</v>
      </c>
      <c r="D38" s="9" t="n">
        <v>275.33</v>
      </c>
      <c r="E38" s="9" t="n">
        <v>247.57</v>
      </c>
      <c r="F38" s="9" t="n">
        <v>399.45</v>
      </c>
      <c r="G38" s="9" t="n">
        <v>356.53</v>
      </c>
      <c r="H38" s="3" t="inlineStr">
        <is>
          <t>Dominalog Express</t>
        </is>
      </c>
      <c r="I38" s="9" t="n">
        <v>247.57</v>
      </c>
      <c r="J38" s="4">
        <f>C38/MIN(D38:G38)-1</f>
        <v/>
      </c>
      <c r="K38" s="3">
        <f>COUNTIF(D38:G38,"&lt;"&amp;C38)+1</f>
        <v/>
      </c>
    </row>
    <row r="39">
      <c r="A39" s="3" t="inlineStr">
        <is>
          <t>Montes Claros - 39401-488</t>
        </is>
      </c>
      <c r="B39" s="3" t="n">
        <v>80</v>
      </c>
      <c r="C39" s="10" t="n">
        <v>240.03</v>
      </c>
      <c r="D39" s="9" t="n">
        <v>353.56</v>
      </c>
      <c r="E39" s="9" t="n">
        <v>302.72</v>
      </c>
      <c r="F39" s="9" t="n">
        <v>575.6799999999999</v>
      </c>
      <c r="G39" s="9" t="n">
        <v>410.53</v>
      </c>
      <c r="H39" s="3" t="inlineStr">
        <is>
          <t>Dominalog Express</t>
        </is>
      </c>
      <c r="I39" s="9" t="n">
        <v>302.72</v>
      </c>
      <c r="J39" s="4">
        <f>C39/MIN(D39:G39)-1</f>
        <v/>
      </c>
      <c r="K39" s="3">
        <f>COUNTIF(D39:G39,"&lt;"&amp;C39)+1</f>
        <v/>
      </c>
    </row>
    <row r="40">
      <c r="A40" s="3" t="inlineStr">
        <is>
          <t>Montes Claros - 39401-488</t>
        </is>
      </c>
      <c r="B40" s="3" t="n">
        <v>100</v>
      </c>
      <c r="C40" s="10" t="n">
        <v>288.93</v>
      </c>
      <c r="D40" s="9" t="n">
        <v>353.56</v>
      </c>
      <c r="E40" s="9" t="n">
        <v>302.72</v>
      </c>
      <c r="F40" s="9" t="n">
        <v>751.92</v>
      </c>
      <c r="G40" s="9" t="n">
        <v>410.53</v>
      </c>
      <c r="H40" s="3" t="inlineStr">
        <is>
          <t>Dominalog Express</t>
        </is>
      </c>
      <c r="I40" s="9" t="n">
        <v>302.72</v>
      </c>
      <c r="J40" s="4">
        <f>C40/MIN(D40:G40)-1</f>
        <v/>
      </c>
      <c r="K40" s="3">
        <f>COUNTIF(D40:G40,"&lt;"&amp;C40)+1</f>
        <v/>
      </c>
    </row>
    <row r="41">
      <c r="A41" s="3" t="inlineStr">
        <is>
          <t>Montes Claros - 39401-488</t>
        </is>
      </c>
      <c r="B41" s="3" t="n">
        <v>120</v>
      </c>
      <c r="C41" s="10" t="n">
        <v>347.86</v>
      </c>
      <c r="D41" s="9" t="n">
        <v>416.91</v>
      </c>
      <c r="E41" s="9" t="n">
        <v>370.2</v>
      </c>
      <c r="F41" s="9" t="n">
        <v>928.15</v>
      </c>
      <c r="G41" s="9" t="n">
        <v>471.77</v>
      </c>
      <c r="H41" s="3" t="inlineStr">
        <is>
          <t>Dominalog Express</t>
        </is>
      </c>
      <c r="I41" s="9" t="n">
        <v>370.2</v>
      </c>
      <c r="J41" s="4">
        <f>C41/MIN(D41:G41)-1</f>
        <v/>
      </c>
      <c r="K41" s="3">
        <f>COUNTIF(D41:G41,"&lt;"&amp;C41)+1</f>
        <v/>
      </c>
    </row>
    <row r="42">
      <c r="A42" s="3" t="inlineStr">
        <is>
          <t>Governador Valadares - 35052-856</t>
        </is>
      </c>
      <c r="B42" s="3" t="n">
        <v>20</v>
      </c>
      <c r="C42" s="8" t="n">
        <v>142.91</v>
      </c>
      <c r="D42" s="9" t="n">
        <v>144.94</v>
      </c>
      <c r="E42" s="9" t="n">
        <v>140.86</v>
      </c>
      <c r="F42" s="9" t="n">
        <v>75.15000000000001</v>
      </c>
      <c r="G42" s="9" t="n">
        <v>329.52</v>
      </c>
      <c r="H42" s="3" t="inlineStr">
        <is>
          <t>JadLog Standard</t>
        </is>
      </c>
      <c r="I42" s="9" t="n">
        <v>75.15000000000001</v>
      </c>
      <c r="J42" s="5">
        <f>C42/MIN(D42:G42)-1</f>
        <v/>
      </c>
      <c r="K42" s="3">
        <f>COUNTIF(D42:G42,"&lt;"&amp;C42)+1</f>
        <v/>
      </c>
    </row>
    <row r="43">
      <c r="A43" s="3" t="inlineStr">
        <is>
          <t>Governador Valadares - 35052-856</t>
        </is>
      </c>
      <c r="B43" s="3" t="n">
        <v>40</v>
      </c>
      <c r="C43" s="10" t="n">
        <v>166.31</v>
      </c>
      <c r="D43" s="9" t="n">
        <v>223.18</v>
      </c>
      <c r="E43" s="9" t="n">
        <v>192.42</v>
      </c>
      <c r="F43" s="9" t="n">
        <v>223.22</v>
      </c>
      <c r="G43" s="9" t="n">
        <v>347.53</v>
      </c>
      <c r="H43" s="3" t="inlineStr">
        <is>
          <t>Dominalog Express</t>
        </is>
      </c>
      <c r="I43" s="9" t="n">
        <v>192.42</v>
      </c>
      <c r="J43" s="4">
        <f>C43/MIN(D43:G43)-1</f>
        <v/>
      </c>
      <c r="K43" s="3">
        <f>COUNTIF(D43:G43,"&lt;"&amp;C43)+1</f>
        <v/>
      </c>
    </row>
    <row r="44">
      <c r="A44" s="3" t="inlineStr">
        <is>
          <t>Governador Valadares - 35052-856</t>
        </is>
      </c>
      <c r="B44" s="3" t="n">
        <v>60</v>
      </c>
      <c r="C44" s="10" t="n">
        <v>197.56</v>
      </c>
      <c r="D44" s="9" t="n">
        <v>275.33</v>
      </c>
      <c r="E44" s="9" t="n">
        <v>247.57</v>
      </c>
      <c r="F44" s="9" t="n">
        <v>399.45</v>
      </c>
      <c r="G44" s="9" t="n">
        <v>356.53</v>
      </c>
      <c r="H44" s="3" t="inlineStr">
        <is>
          <t>Dominalog Express</t>
        </is>
      </c>
      <c r="I44" s="9" t="n">
        <v>247.57</v>
      </c>
      <c r="J44" s="4">
        <f>C44/MIN(D44:G44)-1</f>
        <v/>
      </c>
      <c r="K44" s="3">
        <f>COUNTIF(D44:G44,"&lt;"&amp;C44)+1</f>
        <v/>
      </c>
    </row>
    <row r="45">
      <c r="A45" s="3" t="inlineStr">
        <is>
          <t>Governador Valadares - 35052-856</t>
        </is>
      </c>
      <c r="B45" s="3" t="n">
        <v>80</v>
      </c>
      <c r="C45" s="10" t="n">
        <v>240.03</v>
      </c>
      <c r="D45" s="9" t="n">
        <v>353.56</v>
      </c>
      <c r="E45" s="9" t="n">
        <v>302.72</v>
      </c>
      <c r="F45" s="9" t="n">
        <v>575.6799999999999</v>
      </c>
      <c r="G45" s="9" t="n">
        <v>410.53</v>
      </c>
      <c r="H45" s="3" t="inlineStr">
        <is>
          <t>Dominalog Express</t>
        </is>
      </c>
      <c r="I45" s="9" t="n">
        <v>302.72</v>
      </c>
      <c r="J45" s="4">
        <f>C45/MIN(D45:G45)-1</f>
        <v/>
      </c>
      <c r="K45" s="3">
        <f>COUNTIF(D45:G45,"&lt;"&amp;C45)+1</f>
        <v/>
      </c>
    </row>
    <row r="46">
      <c r="A46" s="3" t="inlineStr">
        <is>
          <t>Governador Valadares - 35052-856</t>
        </is>
      </c>
      <c r="B46" s="3" t="n">
        <v>100</v>
      </c>
      <c r="C46" s="10" t="n">
        <v>288.93</v>
      </c>
      <c r="D46" s="9" t="n">
        <v>353.56</v>
      </c>
      <c r="E46" s="9" t="n">
        <v>302.72</v>
      </c>
      <c r="F46" s="9" t="n">
        <v>751.92</v>
      </c>
      <c r="G46" s="9" t="n">
        <v>410.53</v>
      </c>
      <c r="H46" s="3" t="inlineStr">
        <is>
          <t>Dominalog Express</t>
        </is>
      </c>
      <c r="I46" s="9" t="n">
        <v>302.72</v>
      </c>
      <c r="J46" s="4">
        <f>C46/MIN(D46:G46)-1</f>
        <v/>
      </c>
      <c r="K46" s="3">
        <f>COUNTIF(D46:G46,"&lt;"&amp;C46)+1</f>
        <v/>
      </c>
    </row>
    <row r="47">
      <c r="A47" s="3" t="inlineStr">
        <is>
          <t>Governador Valadares - 35052-856</t>
        </is>
      </c>
      <c r="B47" s="3" t="n">
        <v>120</v>
      </c>
      <c r="C47" s="10" t="n">
        <v>347.86</v>
      </c>
      <c r="D47" s="9" t="n">
        <v>416.91</v>
      </c>
      <c r="E47" s="9" t="n">
        <v>370.2</v>
      </c>
      <c r="F47" s="9" t="n">
        <v>928.15</v>
      </c>
      <c r="G47" s="9" t="n">
        <v>471.77</v>
      </c>
      <c r="H47" s="3" t="inlineStr">
        <is>
          <t>Dominalog Express</t>
        </is>
      </c>
      <c r="I47" s="9" t="n">
        <v>370.2</v>
      </c>
      <c r="J47" s="4">
        <f>C47/MIN(D47:G47)-1</f>
        <v/>
      </c>
      <c r="K47" s="3">
        <f>COUNTIF(D47:G47,"&lt;"&amp;C47)+1</f>
        <v/>
      </c>
    </row>
    <row r="48">
      <c r="A48" s="3" t="inlineStr">
        <is>
          <t>Santa Luzia - 33015-580</t>
        </is>
      </c>
      <c r="B48" s="3" t="n">
        <v>20</v>
      </c>
      <c r="C48" s="8" t="n">
        <v>96.78</v>
      </c>
      <c r="D48" s="9" t="n">
        <v>103.9</v>
      </c>
      <c r="E48" s="9" t="n">
        <v>118.09</v>
      </c>
      <c r="F48" s="9" t="n">
        <v>79.93000000000001</v>
      </c>
      <c r="G48" s="9" t="n">
        <v>329.52</v>
      </c>
      <c r="H48" s="3" t="inlineStr">
        <is>
          <t>JadLog Standard</t>
        </is>
      </c>
      <c r="I48" s="9" t="n">
        <v>79.93000000000001</v>
      </c>
      <c r="J48" s="5">
        <f>C48/MIN(D48:G48)-1</f>
        <v/>
      </c>
      <c r="K48" s="3">
        <f>COUNTIF(D48:G48,"&lt;"&amp;C48)+1</f>
        <v/>
      </c>
    </row>
    <row r="49">
      <c r="A49" s="3" t="inlineStr">
        <is>
          <t>Santa Luzia - 33015-580</t>
        </is>
      </c>
      <c r="B49" s="3" t="n">
        <v>40</v>
      </c>
      <c r="C49" s="10" t="n">
        <v>111.8</v>
      </c>
      <c r="D49" s="9" t="n">
        <v>149.41</v>
      </c>
      <c r="E49" s="9" t="n">
        <v>152.85</v>
      </c>
      <c r="F49" s="9" t="n">
        <v>242.39</v>
      </c>
      <c r="G49" s="9" t="n">
        <v>347.53</v>
      </c>
      <c r="H49" s="3" t="inlineStr">
        <is>
          <t>Atual Cargas Standard</t>
        </is>
      </c>
      <c r="I49" s="9" t="n">
        <v>149.41</v>
      </c>
      <c r="J49" s="4">
        <f>C49/MIN(D49:G49)-1</f>
        <v/>
      </c>
      <c r="K49" s="3">
        <f>COUNTIF(D49:G49,"&lt;"&amp;C49)+1</f>
        <v/>
      </c>
    </row>
    <row r="50">
      <c r="A50" s="3" t="inlineStr">
        <is>
          <t>Santa Luzia - 33015-580</t>
        </is>
      </c>
      <c r="B50" s="3" t="n">
        <v>60</v>
      </c>
      <c r="C50" s="10" t="n">
        <v>134.88</v>
      </c>
      <c r="D50" s="9" t="n">
        <v>179.74</v>
      </c>
      <c r="E50" s="9" t="n">
        <v>191.22</v>
      </c>
      <c r="F50" s="9" t="n">
        <v>435.4</v>
      </c>
      <c r="G50" s="9" t="n">
        <v>356.53</v>
      </c>
      <c r="H50" s="3" t="inlineStr">
        <is>
          <t>Atual Cargas Standard</t>
        </is>
      </c>
      <c r="I50" s="9" t="n">
        <v>179.74</v>
      </c>
      <c r="J50" s="4">
        <f>C50/MIN(D50:G50)-1</f>
        <v/>
      </c>
      <c r="K50" s="3">
        <f>COUNTIF(D50:G50,"&lt;"&amp;C50)+1</f>
        <v/>
      </c>
    </row>
    <row r="51">
      <c r="A51" s="3" t="inlineStr">
        <is>
          <t>Santa Luzia - 33015-580</t>
        </is>
      </c>
      <c r="B51" s="3" t="n">
        <v>80</v>
      </c>
      <c r="C51" s="10" t="n">
        <v>164.81</v>
      </c>
      <c r="D51" s="9" t="n">
        <v>225.24</v>
      </c>
      <c r="E51" s="9" t="n">
        <v>223.59</v>
      </c>
      <c r="F51" s="9" t="n">
        <v>628.42</v>
      </c>
      <c r="G51" s="9" t="n">
        <v>410.53</v>
      </c>
      <c r="H51" s="3" t="inlineStr">
        <is>
          <t>Dominalog Express</t>
        </is>
      </c>
      <c r="I51" s="9" t="n">
        <v>223.59</v>
      </c>
      <c r="J51" s="4">
        <f>C51/MIN(D51:G51)-1</f>
        <v/>
      </c>
      <c r="K51" s="3">
        <f>COUNTIF(D51:G51,"&lt;"&amp;C51)+1</f>
        <v/>
      </c>
    </row>
    <row r="52">
      <c r="A52" s="3" t="inlineStr">
        <is>
          <t>Santa Luzia - 33015-580</t>
        </is>
      </c>
      <c r="B52" s="3" t="n">
        <v>100</v>
      </c>
      <c r="C52" s="10" t="n">
        <v>198.67</v>
      </c>
      <c r="D52" s="9" t="n">
        <v>225.24</v>
      </c>
      <c r="E52" s="9" t="n">
        <v>223.59</v>
      </c>
      <c r="F52" s="9" t="n">
        <v>821.4299999999999</v>
      </c>
      <c r="G52" s="9" t="n">
        <v>410.53</v>
      </c>
      <c r="H52" s="3" t="inlineStr">
        <is>
          <t>Dominalog Express</t>
        </is>
      </c>
      <c r="I52" s="9" t="n">
        <v>223.59</v>
      </c>
      <c r="J52" s="4">
        <f>C52/MIN(D52:G52)-1</f>
        <v/>
      </c>
      <c r="K52" s="3">
        <f>COUNTIF(D52:G52,"&lt;"&amp;C52)+1</f>
        <v/>
      </c>
    </row>
    <row r="53">
      <c r="A53" s="3" t="inlineStr">
        <is>
          <t>Santa Luzia - 33015-580</t>
        </is>
      </c>
      <c r="B53" s="3" t="n">
        <v>120</v>
      </c>
      <c r="C53" s="10" t="n">
        <v>239.55</v>
      </c>
      <c r="D53" s="9" t="n">
        <v>266.77</v>
      </c>
      <c r="E53" s="9" t="n">
        <v>259.91</v>
      </c>
      <c r="F53" s="9" t="n">
        <v>1014.45</v>
      </c>
      <c r="G53" s="9" t="n">
        <v>471.77</v>
      </c>
      <c r="H53" s="3" t="inlineStr">
        <is>
          <t>Dominalog Express</t>
        </is>
      </c>
      <c r="I53" s="9" t="n">
        <v>259.91</v>
      </c>
      <c r="J53" s="4">
        <f>C53/MIN(D53:G53)-1</f>
        <v/>
      </c>
      <c r="K53" s="3">
        <f>COUNTIF(D53:G53,"&lt;"&amp;C53)+1</f>
        <v/>
      </c>
    </row>
    <row r="54">
      <c r="A54" s="3" t="inlineStr">
        <is>
          <t>Uberaba - 38037-590</t>
        </is>
      </c>
      <c r="B54" s="3" t="n"/>
      <c r="C54" s="6" t="inlineStr">
        <is>
          <t>Sem cotação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7" customWidth="1" min="3" max="3"/>
    <col width="17" customWidth="1" min="4" max="4"/>
    <col width="15" customWidth="1" min="5" max="5"/>
    <col width="17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Cidade</t>
        </is>
      </c>
      <c r="B1" s="2" t="inlineStr">
        <is>
          <t>Rápido A.P. Std</t>
        </is>
      </c>
      <c r="C1" s="2" t="inlineStr">
        <is>
          <t>Atual Cargas Standard</t>
        </is>
      </c>
      <c r="D1" s="2" t="inlineStr">
        <is>
          <t>Dominalog Express</t>
        </is>
      </c>
      <c r="E1" s="2" t="inlineStr">
        <is>
          <t>JadLog Standard</t>
        </is>
      </c>
      <c r="F1" s="2" t="inlineStr">
        <is>
          <t>Petrymar Transportes</t>
        </is>
      </c>
      <c r="G1" s="2" t="inlineStr">
        <is>
          <t>Menor prazo conc.</t>
        </is>
      </c>
      <c r="H1" s="2" t="inlineStr">
        <is>
          <t>Dias a mais (RAP)</t>
        </is>
      </c>
      <c r="I1" s="2" t="inlineStr">
        <is>
          <t>Posição RAP (de 5)</t>
        </is>
      </c>
    </row>
    <row r="2">
      <c r="A2" s="3" t="inlineStr">
        <is>
          <t>Belo Horizonte - 30330-040</t>
        </is>
      </c>
      <c r="B2" s="13" t="n">
        <v>16</v>
      </c>
      <c r="C2" s="3" t="n">
        <v>11</v>
      </c>
      <c r="D2" s="3" t="n">
        <v>15</v>
      </c>
      <c r="E2" s="3" t="n">
        <v>9</v>
      </c>
      <c r="F2" s="3" t="n">
        <v>10</v>
      </c>
      <c r="G2" s="3">
        <f>MIN(C2:F2)</f>
        <v/>
      </c>
      <c r="H2" s="3">
        <f>B2-G2</f>
        <v/>
      </c>
      <c r="I2" s="3">
        <f>COUNTIF(C2:F2,"&lt;"&amp;B2)+1</f>
        <v/>
      </c>
    </row>
    <row r="3">
      <c r="A3" s="3" t="inlineStr">
        <is>
          <t>Contagem - 32185-070</t>
        </is>
      </c>
      <c r="B3" s="13" t="n">
        <v>16</v>
      </c>
      <c r="C3" s="3" t="n">
        <v>11</v>
      </c>
      <c r="D3" s="3" t="n">
        <v>16</v>
      </c>
      <c r="E3" s="3" t="n">
        <v>9</v>
      </c>
      <c r="F3" s="3" t="n">
        <v>10</v>
      </c>
      <c r="G3" s="3">
        <f>MIN(C3:F3)</f>
        <v/>
      </c>
      <c r="H3" s="3">
        <f>B3-G3</f>
        <v/>
      </c>
      <c r="I3" s="3">
        <f>COUNTIF(C3:F3,"&lt;"&amp;B3)+1</f>
        <v/>
      </c>
    </row>
    <row r="4">
      <c r="A4" s="3" t="inlineStr">
        <is>
          <t>Juiz de Fora - 36072-650</t>
        </is>
      </c>
      <c r="B4" s="13" t="n">
        <v>16</v>
      </c>
      <c r="C4" s="3" t="n">
        <v>10</v>
      </c>
      <c r="D4" s="3" t="n">
        <v>19</v>
      </c>
      <c r="E4" s="3" t="n">
        <v>10</v>
      </c>
      <c r="F4" s="3" t="n">
        <v>15</v>
      </c>
      <c r="G4" s="3">
        <f>MIN(C4:F4)</f>
        <v/>
      </c>
      <c r="H4" s="3">
        <f>B4-G4</f>
        <v/>
      </c>
      <c r="I4" s="3">
        <f>COUNTIF(C4:F4,"&lt;"&amp;B4)+1</f>
        <v/>
      </c>
    </row>
    <row r="5">
      <c r="A5" s="3" t="inlineStr">
        <is>
          <t>Betim - 32681-824</t>
        </is>
      </c>
      <c r="B5" s="13" t="n">
        <v>16</v>
      </c>
      <c r="C5" s="3" t="n">
        <v>11</v>
      </c>
      <c r="D5" s="3" t="n">
        <v>16</v>
      </c>
      <c r="E5" s="3" t="n">
        <v>9</v>
      </c>
      <c r="F5" s="3" t="n">
        <v>10</v>
      </c>
      <c r="G5" s="3">
        <f>MIN(C5:F5)</f>
        <v/>
      </c>
      <c r="H5" s="3">
        <f>B5-G5</f>
        <v/>
      </c>
      <c r="I5" s="3">
        <f>COUNTIF(C5:F5,"&lt;"&amp;B5)+1</f>
        <v/>
      </c>
    </row>
    <row r="6">
      <c r="A6" s="3" t="inlineStr">
        <is>
          <t>Ribeirão das Neves - 33913-290</t>
        </is>
      </c>
      <c r="B6" s="13" t="n">
        <v>16</v>
      </c>
      <c r="C6" s="3" t="n">
        <v>14</v>
      </c>
      <c r="D6" s="3" t="n">
        <v>16</v>
      </c>
      <c r="E6" s="3" t="n">
        <v>11</v>
      </c>
      <c r="F6" s="3" t="n">
        <v>15</v>
      </c>
      <c r="G6" s="3">
        <f>MIN(C6:F6)</f>
        <v/>
      </c>
      <c r="H6" s="3">
        <f>B6-G6</f>
        <v/>
      </c>
      <c r="I6" s="3">
        <f>COUNTIF(C6:F6,"&lt;"&amp;B6)+1</f>
        <v/>
      </c>
    </row>
    <row r="7">
      <c r="A7" s="3" t="inlineStr">
        <is>
          <t>Montes Claros - 39401-488</t>
        </is>
      </c>
      <c r="B7" s="13" t="n">
        <v>21</v>
      </c>
      <c r="C7" s="3" t="n">
        <v>12</v>
      </c>
      <c r="D7" s="3" t="n">
        <v>19</v>
      </c>
      <c r="E7" s="3" t="n">
        <v>10</v>
      </c>
      <c r="F7" s="3" t="n">
        <v>15</v>
      </c>
      <c r="G7" s="3">
        <f>MIN(C7:F7)</f>
        <v/>
      </c>
      <c r="H7" s="3">
        <f>B7-G7</f>
        <v/>
      </c>
      <c r="I7" s="3">
        <f>COUNTIF(C7:F7,"&lt;"&amp;B7)+1</f>
        <v/>
      </c>
    </row>
    <row r="8">
      <c r="A8" s="3" t="inlineStr">
        <is>
          <t>Governador Valadares - 35052-856</t>
        </is>
      </c>
      <c r="B8" s="13" t="n">
        <v>21</v>
      </c>
      <c r="C8" s="3" t="n">
        <v>13</v>
      </c>
      <c r="D8" s="3" t="n">
        <v>22</v>
      </c>
      <c r="E8" s="3" t="n">
        <v>10</v>
      </c>
      <c r="F8" s="3" t="n">
        <v>15</v>
      </c>
      <c r="G8" s="3">
        <f>MIN(C8:F8)</f>
        <v/>
      </c>
      <c r="H8" s="3">
        <f>B8-G8</f>
        <v/>
      </c>
      <c r="I8" s="3">
        <f>COUNTIF(C8:F8,"&lt;"&amp;B8)+1</f>
        <v/>
      </c>
    </row>
    <row r="9">
      <c r="A9" s="3" t="inlineStr">
        <is>
          <t>Santa Luzia - 33015-580</t>
        </is>
      </c>
      <c r="B9" s="13" t="n">
        <v>16</v>
      </c>
      <c r="C9" s="3" t="n">
        <v>17</v>
      </c>
      <c r="D9" s="3" t="n">
        <v>16</v>
      </c>
      <c r="E9" s="3" t="n">
        <v>10</v>
      </c>
      <c r="F9" s="3" t="n">
        <v>15</v>
      </c>
      <c r="G9" s="3">
        <f>MIN(C9:F9)</f>
        <v/>
      </c>
      <c r="H9" s="3">
        <f>B9-G9</f>
        <v/>
      </c>
      <c r="I9" s="3">
        <f>COUNTIF(C9:F9,"&lt;"&amp;B9)+1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2026-09-30T14:32:53Z</dcterms:created>
  <dcterms:modified xsi:type="dcterms:W3CDTF">2026-09-30T14:32:53Z</dcterms:modified>
</cp:coreProperties>
</file>