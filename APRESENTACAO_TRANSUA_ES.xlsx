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idades" sheetId="2" state="visible" r:id="rId4"/>
    <sheet name="Faixas de Peso" sheetId="3" state="visible" r:id="rId5"/>
    <sheet name="Premiss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<sst xmlns="http://schemas.openxmlformats.org/spreadsheetml/2006/main" count="253" uniqueCount="101">
  <si>
    <t xml:space="preserve">TRANSUA  |  Simulação de Frete – Espírito Santo</t>
  </si>
  <si>
    <t xml:space="preserve">Pedidos com destino ES pagos de jul a set: preço atual praticado x tabela TRANSUA proposta (valores com ICMS)</t>
  </si>
  <si>
    <t xml:space="preserve">Pedidos simulados</t>
  </si>
  <si>
    <t xml:space="preserve">Custo atual (mercado)</t>
  </si>
  <si>
    <t xml:space="preserve">Custo com TRANSUA</t>
  </si>
  <si>
    <t xml:space="preserve">Diferença</t>
  </si>
  <si>
    <t xml:space="preserve">Pedidos em que a TRANSUA é mais barata</t>
  </si>
  <si>
    <t xml:space="preserve">Resultado por região</t>
  </si>
  <si>
    <t xml:space="preserve">Região</t>
  </si>
  <si>
    <t xml:space="preserve">Pedidos</t>
  </si>
  <si>
    <t xml:space="preserve">Preço médio atual</t>
  </si>
  <si>
    <t xml:space="preserve">Preço médio TRANSUA</t>
  </si>
  <si>
    <t xml:space="preserve">TRANSUA mais barata em</t>
  </si>
  <si>
    <t xml:space="preserve">Status</t>
  </si>
  <si>
    <t xml:space="preserve">Grande Vitória (Serra, Vila Velha, Vitória, Cariacica, Viana)</t>
  </si>
  <si>
    <t xml:space="preserve">Interior (demais cidades)</t>
  </si>
  <si>
    <t xml:space="preserve">Total ES</t>
  </si>
  <si>
    <t xml:space="preserve">Onde a TRANSUA já é competitiva</t>
  </si>
  <si>
    <t xml:space="preserve">✔  Grande Vitória, pedidos de 40 a 90 kg: -2.8% vs. mercado; mais barata em 62% dos pedidos.</t>
  </si>
  <si>
    <t xml:space="preserve">✔  Cariacica e Viana: preço igual ou abaixo do mercado no total.</t>
  </si>
  <si>
    <t xml:space="preserve">✔  Serra, Vila Velha e Vitória: apenas +5% a +7% acima do mercado — ajuste pequeno torna a tabela vencedora.</t>
  </si>
  <si>
    <t xml:space="preserve">Onde a TRANSUA precisa melhorar</t>
  </si>
  <si>
    <t xml:space="preserve">✖  Interior: +32% acima do mercado, mais barata em só 2% dos pedidos. O frete mínimo de R$ 160 (sem ICMS) é a principal causa: 48% dos pedidos do interior caem no mínimo.</t>
  </si>
  <si>
    <t xml:space="preserve">✖  Guarapari (maior cidade fora da Grande Vitória): está na faixa de CEP do interior (mínimo R$ 160, 18 d.u.); +35% vs. mercado e não vence nenhum pedido.</t>
  </si>
  <si>
    <t xml:space="preserve">✖  Pedidos leves (0–20 kg): +44%. O mínimo de R$ 95 (capital) fica acima do preço praticado pelo mercado (~R$ 72 na Grande Vitória).</t>
  </si>
  <si>
    <t xml:space="preserve">✖  Pedidos pesados (acima de 90 kg): +13% a +38%. As faixas de 100, 150 e 200 kg estão caras.</t>
  </si>
  <si>
    <t xml:space="preserve">✖  Taxa SECCAT de R$ 220 por pedido em cidades pequenas do interior (37 pedidos no período) inviabiliza a cotação nesses CEPs.</t>
  </si>
  <si>
    <t xml:space="preserve">Nossa proposta de ajuste</t>
  </si>
  <si>
    <t xml:space="preserve">1.  Reduzir o frete mínimo do interior de R$ 160 para ~R$ 125 (sem ICMS).</t>
  </si>
  <si>
    <t xml:space="preserve">2.  Enquadrar Guarapari (CEPs 29200-000 a 29229-999) na tabela da capital: mínimo R$ 95 e prazo 12 d.u.</t>
  </si>
  <si>
    <t xml:space="preserve">3.  Reduzir o mínimo da capital e a faixa de até 20 kg em ~20%.</t>
  </si>
  <si>
    <t xml:space="preserve">4.  Reduzir as faixas de 100, 150 e 200 kg em ~15% a 25% (ver aba "Faixas de Peso").</t>
  </si>
  <si>
    <t xml:space="preserve">5.  Rever ou retirar a taxa SECCAT de R$ 220.</t>
  </si>
  <si>
    <t xml:space="preserve">Top 20 cidades do ES  |  Preço médio por pedido</t>
  </si>
  <si>
    <t xml:space="preserve">Cidades com mais pedidos de jul a set. Preço alvo = preço médio praticado hoje pelo mercado nos mesmos pedidos (com ICMS).</t>
  </si>
  <si>
    <t xml:space="preserve">Cidade</t>
  </si>
  <si>
    <t xml:space="preserve">Preço alvo (mercado)</t>
  </si>
  <si>
    <t xml:space="preserve">Preço TRANSUA</t>
  </si>
  <si>
    <t xml:space="preserve">Redução necessária</t>
  </si>
  <si>
    <t xml:space="preserve">Serra</t>
  </si>
  <si>
    <t xml:space="preserve">Capital</t>
  </si>
  <si>
    <t xml:space="preserve">Vila Velha</t>
  </si>
  <si>
    <t xml:space="preserve">Vitória</t>
  </si>
  <si>
    <t xml:space="preserve">Cariacica</t>
  </si>
  <si>
    <t xml:space="preserve">Guarapari</t>
  </si>
  <si>
    <t xml:space="preserve">Interior</t>
  </si>
  <si>
    <t xml:space="preserve">Cachoeiro de Itapemirim</t>
  </si>
  <si>
    <t xml:space="preserve">Linhares</t>
  </si>
  <si>
    <t xml:space="preserve">Colatina</t>
  </si>
  <si>
    <t xml:space="preserve">São Mateus</t>
  </si>
  <si>
    <t xml:space="preserve">Viana</t>
  </si>
  <si>
    <t xml:space="preserve">Aracruz</t>
  </si>
  <si>
    <t xml:space="preserve">Nova Venécia</t>
  </si>
  <si>
    <t xml:space="preserve">Anchieta</t>
  </si>
  <si>
    <t xml:space="preserve">Marataízes</t>
  </si>
  <si>
    <t xml:space="preserve">Alegre</t>
  </si>
  <si>
    <t xml:space="preserve">Santa Maria de Jetibá</t>
  </si>
  <si>
    <t xml:space="preserve">Piúma</t>
  </si>
  <si>
    <t xml:space="preserve">Castelo</t>
  </si>
  <si>
    <t xml:space="preserve">Vila Valério</t>
  </si>
  <si>
    <t xml:space="preserve">Baixo Guandu</t>
  </si>
  <si>
    <t xml:space="preserve">Total top 20</t>
  </si>
  <si>
    <t xml:space="preserve">Legenda de status (diferença TRANSUA x mercado atual):</t>
  </si>
  <si>
    <t xml:space="preserve">Competitivo  (≤ 0%)</t>
  </si>
  <si>
    <t xml:space="preserve">Ajuste fino  (até +10%)</t>
  </si>
  <si>
    <t xml:space="preserve">Precisa melhorar  (+10% a +20%)</t>
  </si>
  <si>
    <t xml:space="preserve">Crítico  (acima de +20%)</t>
  </si>
  <si>
    <t xml:space="preserve">Faixas de peso  |  Top 20 cidades</t>
  </si>
  <si>
    <t xml:space="preserve">Preço médio por pedido em cada faixa de peso (kg). "Melhor preço do mercado" = transportadora mais barata hoje na faixa (média).</t>
  </si>
  <si>
    <t xml:space="preserve">Faixa de peso (kg)</t>
  </si>
  <si>
    <t xml:space="preserve">Preço médio mercado</t>
  </si>
  <si>
    <t xml:space="preserve">Melhor preço do mercado</t>
  </si>
  <si>
    <t xml:space="preserve">Diferença x média</t>
  </si>
  <si>
    <t xml:space="preserve">Redução p/ média do mercado</t>
  </si>
  <si>
    <t xml:space="preserve">0 - 20 kg</t>
  </si>
  <si>
    <t xml:space="preserve">20 - 40 kg</t>
  </si>
  <si>
    <t xml:space="preserve">40 - 60 kg</t>
  </si>
  <si>
    <t xml:space="preserve">60 - 70 kg</t>
  </si>
  <si>
    <t xml:space="preserve">70 - 90 kg</t>
  </si>
  <si>
    <t xml:space="preserve">90 - 120 kg</t>
  </si>
  <si>
    <t xml:space="preserve">120 - 160 kg</t>
  </si>
  <si>
    <t xml:space="preserve">160+ kg</t>
  </si>
  <si>
    <t xml:space="preserve">Mapa de calor: diferença TRANSUA x mercado por cidade e faixa (verde = TRANSUA mais barata)</t>
  </si>
  <si>
    <t xml:space="preserve">·</t>
  </si>
  <si>
    <t xml:space="preserve">·  = menos de 3 pedidos na combinação (não exibido).</t>
  </si>
  <si>
    <t xml:space="preserve">Premissas da simulação</t>
  </si>
  <si>
    <t xml:space="preserve">Como os valores foram calculados</t>
  </si>
  <si>
    <t xml:space="preserve">Base</t>
  </si>
  <si>
    <t xml:space="preserve">Pedidos com destino ao Espírito Santo, pagos entre 01/07 e 30/09 (1.205 pedidos).</t>
  </si>
  <si>
    <t xml:space="preserve">Preço atual (mercado)</t>
  </si>
  <si>
    <t xml:space="preserve">Custo de frete cotado pela transportadora que efetivamente atendeu cada pedido, com ICMS.</t>
  </si>
  <si>
    <t xml:space="preserve">Tabela proposta (formato Intelipost) aplicada pedido a pedido:</t>
  </si>
  <si>
    <t xml:space="preserve">•  Frete-peso pela faixa (até 10/20/40/60/70/100/150/200 kg; acima de 200 kg = faixa de 200 kg + excedente por kg).</t>
  </si>
  <si>
    <t xml:space="preserve">•  + Ad valorem 0,3% e GRIS 0,2% sobre a nota fiscal, TAS R$ 4,00, pedágio R$ 3,80 a cada 100 kg, entrega R$ 9,50 e SECCAT (R$ 220 nas faixas de CEP indicadas).</t>
  </si>
  <si>
    <t xml:space="preserve">•  Frete mínimo: R$ 95 (Grande Vitória, CEP 29000-000 a 29184-999) e R$ 160 (demais CEPs), aplicado sobre o total.</t>
  </si>
  <si>
    <t xml:space="preserve">ICMS</t>
  </si>
  <si>
    <t xml:space="preserve">A tabela informa ICMS não incluso; aplicado ICMS interestadual de 7% (origem Sudeste → ES) por dentro: total ÷ 0,93.</t>
  </si>
  <si>
    <t xml:space="preserve">Peso</t>
  </si>
  <si>
    <t xml:space="preserve">Peso real dos itens (a base não tem dimensões, portanto a cubagem de 300 kg/m³ não foi aplicada).</t>
  </si>
  <si>
    <t xml:space="preserve">Confidencialidade</t>
  </si>
  <si>
    <t xml:space="preserve">Preços de mercado apresentados apenas como médias, sem identificação das transportadoras.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</si>
</sst>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&quot;R$ &quot;#,##0"/>
    <numFmt numFmtId="167" formatCode="\+0.0%;\-0.0%;0.0%"/>
    <numFmt numFmtId="168" formatCode="0%"/>
    <numFmt numFmtId="169" formatCode="&quot;R$ &quot;#,##0.00"/>
    <numFmt numFmtId="170" formatCode="0.0%;\-0.0%;\—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9C000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974706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A6A6A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BF6EE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6EE"/>
      </patternFill>
    </fill>
    <fill>
      <patternFill patternType="solid">
        <fgColor rgb="FFEBF6EE"/>
        <bgColor rgb="FFF2F2F2"/>
      </patternFill>
    </fill>
    <fill>
      <patternFill patternType="solid">
        <fgColor rgb="FFFDEDEF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</font>
      <fill>
        <patternFill>
          <bgColor rgb="FFFCD5B4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9999FF"/>
      <rgbColor rgb="FF993366"/>
      <rgbColor rgb="FFEBF6EE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DEDEF"/>
      <rgbColor rgb="FFFFC7CE"/>
      <rgbColor rgb="FFCC99FF"/>
      <rgbColor rgb="FFFCD5B4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747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 médio por faixa de peso: mercado x TRANSUA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'Faixas de Peso'!D4</c:f>
              <c:strCache>
                <c:ptCount val="1"/>
                <c:pt idx="0">
                  <c:v>Preço médio mercado</c:v>
                </c:pt>
              </c:strCache>
            </c:strRef>
          </c:tx>
          <c:spPr>
            <a:solidFill>
              <a:srgbClr val="a6a6a6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'Faixas de Peso'!$B$5:$B$12</c:f>
              <c:strCache>
                <c:ptCount val="8"/>
                <c:pt idx="0">
                  <c:v>0 - 20 kg</c:v>
                </c:pt>
                <c:pt idx="1">
                  <c:v>20 - 40 kg</c:v>
                </c:pt>
                <c:pt idx="2">
                  <c:v>40 - 60 kg</c:v>
                </c:pt>
                <c:pt idx="3">
                  <c:v>60 - 70 kg</c:v>
                </c:pt>
                <c:pt idx="4">
                  <c:v>70 - 90 kg</c:v>
                </c:pt>
                <c:pt idx="5">
                  <c:v>90 - 120 kg</c:v>
                </c:pt>
                <c:pt idx="6">
                  <c:v>120 - 160 kg</c:v>
                </c:pt>
                <c:pt idx="7">
                  <c:v>160+ kg</c:v>
                </c:pt>
              </c:strCache>
            </c:strRef>
          </c:cat>
          <c:val>
            <c:numRef>
              <c:f>'Faixas de Peso'!$D$5:$D$12</c:f>
              <c:numCache>
                <c:formatCode>"R$ "#,##0.00</c:formatCode>
                <c:ptCount val="8"/>
                <c:pt idx="0">
                  <c:v>88.54</c:v>
                </c:pt>
                <c:pt idx="1">
                  <c:v>131.21</c:v>
                </c:pt>
                <c:pt idx="2">
                  <c:v>163.15</c:v>
                </c:pt>
                <c:pt idx="3">
                  <c:v>186.06</c:v>
                </c:pt>
                <c:pt idx="4">
                  <c:v>211.55</c:v>
                </c:pt>
                <c:pt idx="5">
                  <c:v>247.44</c:v>
                </c:pt>
                <c:pt idx="6">
                  <c:v>280.68</c:v>
                </c:pt>
                <c:pt idx="7">
                  <c:v>362.42</c:v>
                </c:pt>
              </c:numCache>
            </c:numRef>
          </c:val>
        </c:ser>
        <c:ser>
          <c:idx val="1"/>
          <c:order val="1"/>
          <c:tx>
            <c:strRef>
              <c:f>'Faixas de Peso'!F4</c:f>
              <c:strCache>
                <c:ptCount val="1"/>
                <c:pt idx="0">
                  <c:v>Preço TRANSUA</c:v>
                </c:pt>
              </c:strCache>
            </c:strRef>
          </c:tx>
          <c:spPr>
            <a:solidFill>
              <a:srgbClr val="2e75b6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'Faixas de Peso'!$B$5:$B$12</c:f>
              <c:strCache>
                <c:ptCount val="8"/>
                <c:pt idx="0">
                  <c:v>0 - 20 kg</c:v>
                </c:pt>
                <c:pt idx="1">
                  <c:v>20 - 40 kg</c:v>
                </c:pt>
                <c:pt idx="2">
                  <c:v>40 - 60 kg</c:v>
                </c:pt>
                <c:pt idx="3">
                  <c:v>60 - 70 kg</c:v>
                </c:pt>
                <c:pt idx="4">
                  <c:v>70 - 90 kg</c:v>
                </c:pt>
                <c:pt idx="5">
                  <c:v>90 - 120 kg</c:v>
                </c:pt>
                <c:pt idx="6">
                  <c:v>120 - 160 kg</c:v>
                </c:pt>
                <c:pt idx="7">
                  <c:v>160+ kg</c:v>
                </c:pt>
              </c:strCache>
            </c:strRef>
          </c:cat>
          <c:val>
            <c:numRef>
              <c:f>'Faixas de Peso'!$F$5:$F$12</c:f>
              <c:numCache>
                <c:formatCode>"R$ "#,##0.00</c:formatCode>
                <c:ptCount val="8"/>
                <c:pt idx="0">
                  <c:v>127.86</c:v>
                </c:pt>
                <c:pt idx="1">
                  <c:v>143.81</c:v>
                </c:pt>
                <c:pt idx="2">
                  <c:v>172.57</c:v>
                </c:pt>
                <c:pt idx="3">
                  <c:v>188.54</c:v>
                </c:pt>
                <c:pt idx="4">
                  <c:v>221.14</c:v>
                </c:pt>
                <c:pt idx="5">
                  <c:v>295.34</c:v>
                </c:pt>
                <c:pt idx="6">
                  <c:v>317.14</c:v>
                </c:pt>
                <c:pt idx="7">
                  <c:v>486.56</c:v>
                </c:pt>
              </c:numCache>
            </c:numRef>
          </c:val>
        </c:ser>
        <c:gapWidth val="60"/>
        <c:overlap val="0"/>
        <c:axId val="36371685"/>
        <c:axId val="26893630"/>
      </c:barChart>
      <c:catAx>
        <c:axId val="36371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93630"/>
        <c:crosses val="autoZero"/>
        <c:auto val="1"/>
        <c:lblAlgn val="ctr"/>
        <c:lblOffset val="100"/>
        <c:noMultiLvlLbl val="0"/>
      </c:catAx>
      <c:valAx>
        <c:axId val="268936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por pedido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716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8</xdr:col>
      <xdr:colOff>307440</xdr:colOff>
      <xdr:row>33</xdr:row>
      <xdr:rowOff>32760</xdr:rowOff>
    </xdr:to>
    <xdr:graphicFrame>
      <xdr:nvGraphicFramePr>
        <xdr:cNvPr id="0" name="Chart 1"/>
        <xdr:cNvGraphicFramePr/>
      </xdr:nvGraphicFramePr>
      <xdr:xfrm>
        <a:off x="141120" y="409572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8" min="3" style="0" width="16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B4" s="3" t="s">
        <v>2</v>
      </c>
      <c r="C4" s="4" t="s">
        <v>3</v>
      </c>
      <c r="D4" s="4"/>
      <c r="E4" s="4" t="s">
        <v>4</v>
      </c>
      <c r="F4" s="4"/>
      <c r="G4" s="3" t="s">
        <v>5</v>
      </c>
      <c r="H4" s="3" t="s">
        <v>6</v>
      </c>
    </row>
    <row r="5" customFormat="false" ht="36" hidden="false" customHeight="true" outlineLevel="0" collapsed="false">
      <c r="B5" s="5" t="n">
        <v>1205</v>
      </c>
      <c r="C5" s="6" t="n">
        <v>194095.28</v>
      </c>
      <c r="D5" s="6"/>
      <c r="E5" s="6" t="n">
        <v>226165.49</v>
      </c>
      <c r="F5" s="6"/>
      <c r="G5" s="7" t="n">
        <v>0.165229211137952</v>
      </c>
      <c r="H5" s="8" t="n">
        <v>0.278838174273859</v>
      </c>
    </row>
    <row r="7" customFormat="false" ht="15" hidden="false" customHeight="false" outlineLevel="0" collapsed="false">
      <c r="B7" s="9" t="s">
        <v>7</v>
      </c>
      <c r="C7" s="10"/>
      <c r="D7" s="10"/>
      <c r="E7" s="10"/>
      <c r="F7" s="10"/>
      <c r="G7" s="10"/>
      <c r="H7" s="10"/>
    </row>
    <row r="8" customFormat="false" ht="31.5" hidden="false" customHeight="true" outlineLevel="0" collapsed="false">
      <c r="B8" s="11" t="s">
        <v>8</v>
      </c>
      <c r="C8" s="11" t="s">
        <v>9</v>
      </c>
      <c r="D8" s="11" t="s">
        <v>10</v>
      </c>
      <c r="E8" s="11" t="s">
        <v>11</v>
      </c>
      <c r="F8" s="11" t="s">
        <v>5</v>
      </c>
      <c r="G8" s="11" t="s">
        <v>12</v>
      </c>
      <c r="H8" s="11" t="s">
        <v>13</v>
      </c>
    </row>
    <row r="9" customFormat="false" ht="15" hidden="false" customHeight="false" outlineLevel="0" collapsed="false">
      <c r="B9" s="12" t="s">
        <v>14</v>
      </c>
      <c r="C9" s="13" t="n">
        <v>709</v>
      </c>
      <c r="D9" s="14" t="n">
        <v>153.54</v>
      </c>
      <c r="E9" s="14" t="n">
        <v>160.09</v>
      </c>
      <c r="F9" s="15" t="n">
        <f aca="false">E9/D9-1</f>
        <v>0.0426598931874431</v>
      </c>
      <c r="G9" s="16" t="n">
        <v>0.456981664315938</v>
      </c>
      <c r="H9" s="17" t="str">
        <f aca="false">IF(F9&lt;=0,"Competitivo",IF(F9&lt;=0.1,"Ajuste fino",IF(F9&lt;=0.2,"Precisa melhorar","Crítico")))</f>
        <v>Ajuste fino</v>
      </c>
    </row>
    <row r="10" customFormat="false" ht="15" hidden="false" customHeight="false" outlineLevel="0" collapsed="false">
      <c r="B10" s="12" t="s">
        <v>15</v>
      </c>
      <c r="C10" s="13" t="n">
        <v>496</v>
      </c>
      <c r="D10" s="14" t="n">
        <v>171.84</v>
      </c>
      <c r="E10" s="14" t="n">
        <v>227.14</v>
      </c>
      <c r="F10" s="15" t="n">
        <f aca="false">E10/D10-1</f>
        <v>0.321810986964618</v>
      </c>
      <c r="G10" s="16" t="n">
        <v>0.0241935483870968</v>
      </c>
      <c r="H10" s="17" t="str">
        <f aca="false">IF(F10&lt;=0,"Competitivo",IF(F10&lt;=0.1,"Ajuste fino",IF(F10&lt;=0.2,"Precisa melhorar","Crítico")))</f>
        <v>Crítico</v>
      </c>
    </row>
    <row r="11" customFormat="false" ht="15" hidden="false" customHeight="false" outlineLevel="0" collapsed="false">
      <c r="B11" s="18" t="s">
        <v>16</v>
      </c>
      <c r="C11" s="19" t="n">
        <f aca="false">SUM(C9:C10)</f>
        <v>1205</v>
      </c>
      <c r="D11" s="20" t="n">
        <f aca="false">SUMPRODUCT(C9:C10,D9:D10)/C11</f>
        <v>161.072614107884</v>
      </c>
      <c r="E11" s="20" t="n">
        <f aca="false">SUMPRODUCT(C9:C10,E9:E10)/C11</f>
        <v>187.689004149378</v>
      </c>
      <c r="F11" s="21" t="n">
        <f aca="false">E11/D11-1</f>
        <v>0.165244664270902</v>
      </c>
      <c r="G11" s="22" t="n">
        <v>0.278838174273859</v>
      </c>
      <c r="H11" s="23" t="str">
        <f aca="false">IF(F11&lt;=0,"Competitivo",IF(F11&lt;=0.1,"Ajuste fino",IF(F11&lt;=0.2,"Precisa melhorar","Crítico")))</f>
        <v>Precisa melhorar</v>
      </c>
    </row>
    <row r="13" customFormat="false" ht="15" hidden="false" customHeight="false" outlineLevel="0" collapsed="false">
      <c r="B13" s="9" t="s">
        <v>17</v>
      </c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B14" s="24" t="s">
        <v>18</v>
      </c>
      <c r="C14" s="24"/>
      <c r="D14" s="24"/>
      <c r="E14" s="24"/>
      <c r="F14" s="24"/>
      <c r="G14" s="24"/>
      <c r="H14" s="24"/>
    </row>
    <row r="15" customFormat="false" ht="15" hidden="false" customHeight="true" outlineLevel="0" collapsed="false">
      <c r="B15" s="24" t="s">
        <v>19</v>
      </c>
      <c r="C15" s="24"/>
      <c r="D15" s="24"/>
      <c r="E15" s="24"/>
      <c r="F15" s="24"/>
      <c r="G15" s="24"/>
      <c r="H15" s="24"/>
    </row>
    <row r="16" customFormat="false" ht="15" hidden="false" customHeight="true" outlineLevel="0" collapsed="false">
      <c r="B16" s="24" t="s">
        <v>20</v>
      </c>
      <c r="C16" s="24"/>
      <c r="D16" s="24"/>
      <c r="E16" s="24"/>
      <c r="F16" s="24"/>
      <c r="G16" s="24"/>
      <c r="H16" s="24"/>
    </row>
    <row r="18" customFormat="false" ht="15" hidden="false" customHeight="false" outlineLevel="0" collapsed="false">
      <c r="B18" s="9" t="s">
        <v>21</v>
      </c>
      <c r="C18" s="10"/>
      <c r="D18" s="10"/>
      <c r="E18" s="10"/>
      <c r="F18" s="10"/>
      <c r="G18" s="10"/>
      <c r="H18" s="10"/>
    </row>
    <row r="19" customFormat="false" ht="30" hidden="false" customHeight="true" outlineLevel="0" collapsed="false">
      <c r="B19" s="25" t="s">
        <v>22</v>
      </c>
      <c r="C19" s="25"/>
      <c r="D19" s="25"/>
      <c r="E19" s="25"/>
      <c r="F19" s="25"/>
      <c r="G19" s="25"/>
      <c r="H19" s="25"/>
    </row>
    <row r="20" customFormat="false" ht="30" hidden="false" customHeight="true" outlineLevel="0" collapsed="false">
      <c r="B20" s="25" t="s">
        <v>23</v>
      </c>
      <c r="C20" s="25"/>
      <c r="D20" s="25"/>
      <c r="E20" s="25"/>
      <c r="F20" s="25"/>
      <c r="G20" s="25"/>
      <c r="H20" s="25"/>
    </row>
    <row r="21" customFormat="false" ht="30" hidden="false" customHeight="true" outlineLevel="0" collapsed="false">
      <c r="B21" s="25" t="s">
        <v>24</v>
      </c>
      <c r="C21" s="25"/>
      <c r="D21" s="25"/>
      <c r="E21" s="25"/>
      <c r="F21" s="25"/>
      <c r="G21" s="25"/>
      <c r="H21" s="25"/>
    </row>
    <row r="22" customFormat="false" ht="30" hidden="false" customHeight="true" outlineLevel="0" collapsed="false">
      <c r="B22" s="25" t="s">
        <v>25</v>
      </c>
      <c r="C22" s="25"/>
      <c r="D22" s="25"/>
      <c r="E22" s="25"/>
      <c r="F22" s="25"/>
      <c r="G22" s="25"/>
      <c r="H22" s="25"/>
    </row>
    <row r="23" customFormat="false" ht="30" hidden="false" customHeight="true" outlineLevel="0" collapsed="false">
      <c r="B23" s="25" t="s">
        <v>26</v>
      </c>
      <c r="C23" s="25"/>
      <c r="D23" s="25"/>
      <c r="E23" s="25"/>
      <c r="F23" s="25"/>
      <c r="G23" s="25"/>
      <c r="H23" s="25"/>
    </row>
    <row r="25" customFormat="false" ht="15" hidden="false" customHeight="false" outlineLevel="0" collapsed="false">
      <c r="B25" s="9" t="s">
        <v>27</v>
      </c>
      <c r="C25" s="10"/>
      <c r="D25" s="10"/>
      <c r="E25" s="10"/>
      <c r="F25" s="10"/>
      <c r="G25" s="10"/>
      <c r="H25" s="10"/>
    </row>
    <row r="26" customFormat="false" ht="19.5" hidden="false" customHeight="true" outlineLevel="0" collapsed="false">
      <c r="B26" s="26" t="s">
        <v>28</v>
      </c>
      <c r="C26" s="26"/>
      <c r="D26" s="26"/>
      <c r="E26" s="26"/>
      <c r="F26" s="26"/>
      <c r="G26" s="26"/>
      <c r="H26" s="26"/>
    </row>
    <row r="27" customFormat="false" ht="19.5" hidden="false" customHeight="true" outlineLevel="0" collapsed="false">
      <c r="B27" s="26" t="s">
        <v>29</v>
      </c>
      <c r="C27" s="26"/>
      <c r="D27" s="26"/>
      <c r="E27" s="26"/>
      <c r="F27" s="26"/>
      <c r="G27" s="26"/>
      <c r="H27" s="26"/>
    </row>
    <row r="28" customFormat="false" ht="19.5" hidden="false" customHeight="true" outlineLevel="0" collapsed="false">
      <c r="B28" s="26" t="s">
        <v>30</v>
      </c>
      <c r="C28" s="26"/>
      <c r="D28" s="26"/>
      <c r="E28" s="26"/>
      <c r="F28" s="26"/>
      <c r="G28" s="26"/>
      <c r="H28" s="26"/>
    </row>
    <row r="29" customFormat="false" ht="19.5" hidden="false" customHeight="true" outlineLevel="0" collapsed="false">
      <c r="B29" s="26" t="s">
        <v>31</v>
      </c>
      <c r="C29" s="26"/>
      <c r="D29" s="26"/>
      <c r="E29" s="26"/>
      <c r="F29" s="26"/>
      <c r="G29" s="26"/>
      <c r="H29" s="26"/>
    </row>
    <row r="30" customFormat="false" ht="19.5" hidden="false" customHeight="true" outlineLevel="0" collapsed="false">
      <c r="B30" s="26" t="s">
        <v>32</v>
      </c>
      <c r="C30" s="26"/>
      <c r="D30" s="26"/>
      <c r="E30" s="26"/>
      <c r="F30" s="26"/>
      <c r="G30" s="26"/>
      <c r="H30" s="26"/>
    </row>
  </sheetData>
  <mergeCells count="19">
    <mergeCell ref="B1:H1"/>
    <mergeCell ref="B2:H2"/>
    <mergeCell ref="C4:D4"/>
    <mergeCell ref="E4:F4"/>
    <mergeCell ref="C5:D5"/>
    <mergeCell ref="E5:F5"/>
    <mergeCell ref="B14:H14"/>
    <mergeCell ref="B15:H15"/>
    <mergeCell ref="B16:H16"/>
    <mergeCell ref="B19:H19"/>
    <mergeCell ref="B20:H20"/>
    <mergeCell ref="B21:H21"/>
    <mergeCell ref="B22:H22"/>
    <mergeCell ref="B23:H23"/>
    <mergeCell ref="B26:H26"/>
    <mergeCell ref="B27:H27"/>
    <mergeCell ref="B28:H28"/>
    <mergeCell ref="B29:H29"/>
    <mergeCell ref="B30:H30"/>
  </mergeCells>
  <conditionalFormatting sqref="F9:F11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H9:H11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6" hidden="false" customHeight="true" outlineLevel="0" collapsed="false">
      <c r="B1" s="1" t="s">
        <v>33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34</v>
      </c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11" t="s">
        <v>35</v>
      </c>
      <c r="C4" s="11" t="s">
        <v>8</v>
      </c>
      <c r="D4" s="11" t="s">
        <v>9</v>
      </c>
      <c r="E4" s="11" t="s">
        <v>36</v>
      </c>
      <c r="F4" s="11" t="s">
        <v>37</v>
      </c>
      <c r="G4" s="11" t="s">
        <v>5</v>
      </c>
      <c r="H4" s="11" t="s">
        <v>12</v>
      </c>
      <c r="I4" s="11" t="s">
        <v>38</v>
      </c>
      <c r="J4" s="11" t="s">
        <v>13</v>
      </c>
    </row>
    <row r="5" customFormat="false" ht="15" hidden="false" customHeight="false" outlineLevel="0" collapsed="false">
      <c r="B5" s="12" t="s">
        <v>39</v>
      </c>
      <c r="C5" s="17" t="s">
        <v>40</v>
      </c>
      <c r="D5" s="13" t="n">
        <v>228</v>
      </c>
      <c r="E5" s="14" t="n">
        <v>152.74</v>
      </c>
      <c r="F5" s="14" t="n">
        <v>160.72</v>
      </c>
      <c r="G5" s="15" t="n">
        <f aca="false">F5/E5-1</f>
        <v>0.0522456461961502</v>
      </c>
      <c r="H5" s="16" t="n">
        <v>0.43421052631579</v>
      </c>
      <c r="I5" s="27" t="n">
        <f aca="false">MAX(0,1-E5/F5)</f>
        <v>0.0496515679442509</v>
      </c>
      <c r="J5" s="17" t="str">
        <f aca="false">IF(G5&lt;=0,"Competitivo",IF(G5&lt;=0.1,"Ajuste fino",IF(G5&lt;=0.2,"Precisa melhorar","Crítico")))</f>
        <v>Ajuste fino</v>
      </c>
    </row>
    <row r="6" customFormat="false" ht="15" hidden="false" customHeight="false" outlineLevel="0" collapsed="false">
      <c r="B6" s="18" t="s">
        <v>41</v>
      </c>
      <c r="C6" s="28" t="s">
        <v>40</v>
      </c>
      <c r="D6" s="29" t="n">
        <v>215</v>
      </c>
      <c r="E6" s="30" t="n">
        <v>155.14</v>
      </c>
      <c r="F6" s="30" t="n">
        <v>162.85</v>
      </c>
      <c r="G6" s="21" t="n">
        <f aca="false">F6/E6-1</f>
        <v>0.0496970478277685</v>
      </c>
      <c r="H6" s="31" t="n">
        <v>0.455813953488372</v>
      </c>
      <c r="I6" s="32" t="n">
        <f aca="false">MAX(0,1-E6/F6)</f>
        <v>0.047344181762358</v>
      </c>
      <c r="J6" s="17" t="str">
        <f aca="false">IF(G6&lt;=0,"Competitivo",IF(G6&lt;=0.1,"Ajuste fino",IF(G6&lt;=0.2,"Precisa melhorar","Crítico")))</f>
        <v>Ajuste fino</v>
      </c>
    </row>
    <row r="7" customFormat="false" ht="15" hidden="false" customHeight="false" outlineLevel="0" collapsed="false">
      <c r="B7" s="12" t="s">
        <v>42</v>
      </c>
      <c r="C7" s="17" t="s">
        <v>40</v>
      </c>
      <c r="D7" s="13" t="n">
        <v>128</v>
      </c>
      <c r="E7" s="14" t="n">
        <v>140.13</v>
      </c>
      <c r="F7" s="14" t="n">
        <v>150.38</v>
      </c>
      <c r="G7" s="15" t="n">
        <f aca="false">F7/E7-1</f>
        <v>0.0731463640904875</v>
      </c>
      <c r="H7" s="16" t="n">
        <v>0.4140625</v>
      </c>
      <c r="I7" s="27" t="n">
        <f aca="false">MAX(0,1-E7/F7)</f>
        <v>0.0681606596621891</v>
      </c>
      <c r="J7" s="17" t="str">
        <f aca="false">IF(G7&lt;=0,"Competitivo",IF(G7&lt;=0.1,"Ajuste fino",IF(G7&lt;=0.2,"Precisa melhorar","Crítico")))</f>
        <v>Ajuste fino</v>
      </c>
    </row>
    <row r="8" customFormat="false" ht="15" hidden="false" customHeight="false" outlineLevel="0" collapsed="false">
      <c r="B8" s="18" t="s">
        <v>43</v>
      </c>
      <c r="C8" s="28" t="s">
        <v>40</v>
      </c>
      <c r="D8" s="29" t="n">
        <v>117</v>
      </c>
      <c r="E8" s="30" t="n">
        <v>166.02</v>
      </c>
      <c r="F8" s="30" t="n">
        <v>165.76</v>
      </c>
      <c r="G8" s="21" t="n">
        <f aca="false">F8/E8-1</f>
        <v>-0.00156607637634032</v>
      </c>
      <c r="H8" s="31" t="n">
        <v>0.52991452991453</v>
      </c>
      <c r="I8" s="32" t="n">
        <f aca="false">MAX(0,1-E8/F8)</f>
        <v>0</v>
      </c>
      <c r="J8" s="17" t="str">
        <f aca="false">IF(G8&lt;=0,"Competitivo",IF(G8&lt;=0.1,"Ajuste fino",IF(G8&lt;=0.2,"Precisa melhorar","Crítico")))</f>
        <v>Competitivo</v>
      </c>
    </row>
    <row r="9" customFormat="false" ht="15" hidden="false" customHeight="false" outlineLevel="0" collapsed="false">
      <c r="B9" s="12" t="s">
        <v>44</v>
      </c>
      <c r="C9" s="17" t="s">
        <v>45</v>
      </c>
      <c r="D9" s="13" t="n">
        <v>64</v>
      </c>
      <c r="E9" s="14" t="n">
        <v>150.86</v>
      </c>
      <c r="F9" s="14" t="n">
        <v>204.28</v>
      </c>
      <c r="G9" s="15" t="n">
        <f aca="false">F9/E9-1</f>
        <v>0.354103141985947</v>
      </c>
      <c r="H9" s="16" t="n">
        <v>0</v>
      </c>
      <c r="I9" s="27" t="n">
        <f aca="false">MAX(0,1-E9/F9)</f>
        <v>0.261503818288623</v>
      </c>
      <c r="J9" s="17" t="str">
        <f aca="false">IF(G9&lt;=0,"Competitivo",IF(G9&lt;=0.1,"Ajuste fino",IF(G9&lt;=0.2,"Precisa melhorar","Crítico")))</f>
        <v>Crítico</v>
      </c>
    </row>
    <row r="10" customFormat="false" ht="15" hidden="false" customHeight="false" outlineLevel="0" collapsed="false">
      <c r="B10" s="18" t="s">
        <v>46</v>
      </c>
      <c r="C10" s="28" t="s">
        <v>45</v>
      </c>
      <c r="D10" s="29" t="n">
        <v>48</v>
      </c>
      <c r="E10" s="30" t="n">
        <v>160.35</v>
      </c>
      <c r="F10" s="30" t="n">
        <v>201.97</v>
      </c>
      <c r="G10" s="21" t="n">
        <f aca="false">F10/E10-1</f>
        <v>0.259557218584347</v>
      </c>
      <c r="H10" s="31" t="n">
        <v>0.0208333333333333</v>
      </c>
      <c r="I10" s="32" t="n">
        <f aca="false">MAX(0,1-E10/F10)</f>
        <v>0.206070208446799</v>
      </c>
      <c r="J10" s="17" t="str">
        <f aca="false">IF(G10&lt;=0,"Competitivo",IF(G10&lt;=0.1,"Ajuste fino",IF(G10&lt;=0.2,"Precisa melhorar","Crítico")))</f>
        <v>Crítico</v>
      </c>
    </row>
    <row r="11" customFormat="false" ht="15" hidden="false" customHeight="false" outlineLevel="0" collapsed="false">
      <c r="B11" s="12" t="s">
        <v>47</v>
      </c>
      <c r="C11" s="17" t="s">
        <v>45</v>
      </c>
      <c r="D11" s="13" t="n">
        <v>38</v>
      </c>
      <c r="E11" s="14" t="n">
        <v>177.67</v>
      </c>
      <c r="F11" s="14" t="n">
        <v>220.05</v>
      </c>
      <c r="G11" s="15" t="n">
        <f aca="false">F11/E11-1</f>
        <v>0.238532110091743</v>
      </c>
      <c r="H11" s="16" t="n">
        <v>0</v>
      </c>
      <c r="I11" s="27" t="n">
        <f aca="false">MAX(0,1-E11/F11)</f>
        <v>0.192592592592593</v>
      </c>
      <c r="J11" s="17" t="str">
        <f aca="false">IF(G11&lt;=0,"Competitivo",IF(G11&lt;=0.1,"Ajuste fino",IF(G11&lt;=0.2,"Precisa melhorar","Crítico")))</f>
        <v>Crítico</v>
      </c>
    </row>
    <row r="12" customFormat="false" ht="15" hidden="false" customHeight="false" outlineLevel="0" collapsed="false">
      <c r="B12" s="18" t="s">
        <v>48</v>
      </c>
      <c r="C12" s="28" t="s">
        <v>45</v>
      </c>
      <c r="D12" s="29" t="n">
        <v>34</v>
      </c>
      <c r="E12" s="30" t="n">
        <v>170.32</v>
      </c>
      <c r="F12" s="30" t="n">
        <v>221.98</v>
      </c>
      <c r="G12" s="21" t="n">
        <f aca="false">F12/E12-1</f>
        <v>0.3033114138093</v>
      </c>
      <c r="H12" s="31" t="n">
        <v>0</v>
      </c>
      <c r="I12" s="32" t="n">
        <f aca="false">MAX(0,1-E12/F12)</f>
        <v>0.232723668798991</v>
      </c>
      <c r="J12" s="17" t="str">
        <f aca="false">IF(G12&lt;=0,"Competitivo",IF(G12&lt;=0.1,"Ajuste fino",IF(G12&lt;=0.2,"Precisa melhorar","Crítico")))</f>
        <v>Crítico</v>
      </c>
    </row>
    <row r="13" customFormat="false" ht="15" hidden="false" customHeight="false" outlineLevel="0" collapsed="false">
      <c r="B13" s="12" t="s">
        <v>49</v>
      </c>
      <c r="C13" s="17" t="s">
        <v>45</v>
      </c>
      <c r="D13" s="13" t="n">
        <v>28</v>
      </c>
      <c r="E13" s="14" t="n">
        <v>165.27</v>
      </c>
      <c r="F13" s="14" t="n">
        <v>203.74</v>
      </c>
      <c r="G13" s="15" t="n">
        <f aca="false">F13/E13-1</f>
        <v>0.232770617776971</v>
      </c>
      <c r="H13" s="16" t="n">
        <v>0</v>
      </c>
      <c r="I13" s="27" t="n">
        <f aca="false">MAX(0,1-E13/F13)</f>
        <v>0.188819083145185</v>
      </c>
      <c r="J13" s="17" t="str">
        <f aca="false">IF(G13&lt;=0,"Competitivo",IF(G13&lt;=0.1,"Ajuste fino",IF(G13&lt;=0.2,"Precisa melhorar","Crítico")))</f>
        <v>Crítico</v>
      </c>
    </row>
    <row r="14" customFormat="false" ht="15" hidden="false" customHeight="false" outlineLevel="0" collapsed="false">
      <c r="B14" s="18" t="s">
        <v>50</v>
      </c>
      <c r="C14" s="28" t="s">
        <v>40</v>
      </c>
      <c r="D14" s="29" t="n">
        <v>21</v>
      </c>
      <c r="E14" s="30" t="n">
        <v>158.07</v>
      </c>
      <c r="F14" s="30" t="n">
        <v>152.7</v>
      </c>
      <c r="G14" s="21" t="n">
        <f aca="false">F14/E14-1</f>
        <v>-0.0339722907572595</v>
      </c>
      <c r="H14" s="31" t="n">
        <v>0.571428571428571</v>
      </c>
      <c r="I14" s="32" t="n">
        <f aca="false">MAX(0,1-E14/F14)</f>
        <v>0</v>
      </c>
      <c r="J14" s="17" t="str">
        <f aca="false">IF(G14&lt;=0,"Competitivo",IF(G14&lt;=0.1,"Ajuste fino",IF(G14&lt;=0.2,"Precisa melhorar","Crítico")))</f>
        <v>Competitivo</v>
      </c>
    </row>
    <row r="15" customFormat="false" ht="15" hidden="false" customHeight="false" outlineLevel="0" collapsed="false">
      <c r="B15" s="12" t="s">
        <v>51</v>
      </c>
      <c r="C15" s="17" t="s">
        <v>45</v>
      </c>
      <c r="D15" s="13" t="n">
        <v>18</v>
      </c>
      <c r="E15" s="14" t="n">
        <v>167.29</v>
      </c>
      <c r="F15" s="14" t="n">
        <v>217.33</v>
      </c>
      <c r="G15" s="15" t="n">
        <f aca="false">F15/E15-1</f>
        <v>0.299121286388906</v>
      </c>
      <c r="H15" s="16" t="n">
        <v>0</v>
      </c>
      <c r="I15" s="27" t="n">
        <f aca="false">MAX(0,1-E15/F15)</f>
        <v>0.230248930198316</v>
      </c>
      <c r="J15" s="17" t="str">
        <f aca="false">IF(G15&lt;=0,"Competitivo",IF(G15&lt;=0.1,"Ajuste fino",IF(G15&lt;=0.2,"Precisa melhorar","Crítico")))</f>
        <v>Crítico</v>
      </c>
    </row>
    <row r="16" customFormat="false" ht="15" hidden="false" customHeight="false" outlineLevel="0" collapsed="false">
      <c r="B16" s="18" t="s">
        <v>52</v>
      </c>
      <c r="C16" s="28" t="s">
        <v>45</v>
      </c>
      <c r="D16" s="29" t="n">
        <v>16</v>
      </c>
      <c r="E16" s="30" t="n">
        <v>175.99</v>
      </c>
      <c r="F16" s="30" t="n">
        <v>206.35</v>
      </c>
      <c r="G16" s="21" t="n">
        <f aca="false">F16/E16-1</f>
        <v>0.172509801693278</v>
      </c>
      <c r="H16" s="31" t="n">
        <v>0</v>
      </c>
      <c r="I16" s="32" t="n">
        <f aca="false">MAX(0,1-E16/F16)</f>
        <v>0.14712866488975</v>
      </c>
      <c r="J16" s="17" t="str">
        <f aca="false">IF(G16&lt;=0,"Competitivo",IF(G16&lt;=0.1,"Ajuste fino",IF(G16&lt;=0.2,"Precisa melhorar","Crítico")))</f>
        <v>Precisa melhorar</v>
      </c>
    </row>
    <row r="17" customFormat="false" ht="15" hidden="false" customHeight="false" outlineLevel="0" collapsed="false">
      <c r="B17" s="12" t="s">
        <v>53</v>
      </c>
      <c r="C17" s="17" t="s">
        <v>45</v>
      </c>
      <c r="D17" s="13" t="n">
        <v>10</v>
      </c>
      <c r="E17" s="14" t="n">
        <v>153.21</v>
      </c>
      <c r="F17" s="14" t="n">
        <v>187.61</v>
      </c>
      <c r="G17" s="15" t="n">
        <f aca="false">F17/E17-1</f>
        <v>0.22452842503753</v>
      </c>
      <c r="H17" s="16" t="n">
        <v>0</v>
      </c>
      <c r="I17" s="27" t="n">
        <f aca="false">MAX(0,1-E17/F17)</f>
        <v>0.183359095997015</v>
      </c>
      <c r="J17" s="17" t="str">
        <f aca="false">IF(G17&lt;=0,"Competitivo",IF(G17&lt;=0.1,"Ajuste fino",IF(G17&lt;=0.2,"Precisa melhorar","Crítico")))</f>
        <v>Crítico</v>
      </c>
    </row>
    <row r="18" customFormat="false" ht="15" hidden="false" customHeight="false" outlineLevel="0" collapsed="false">
      <c r="B18" s="18" t="s">
        <v>54</v>
      </c>
      <c r="C18" s="28" t="s">
        <v>45</v>
      </c>
      <c r="D18" s="29" t="n">
        <v>10</v>
      </c>
      <c r="E18" s="30" t="n">
        <v>169.22</v>
      </c>
      <c r="F18" s="30" t="n">
        <v>204.48</v>
      </c>
      <c r="G18" s="21" t="n">
        <f aca="false">F18/E18-1</f>
        <v>0.208367805223969</v>
      </c>
      <c r="H18" s="31" t="n">
        <v>0</v>
      </c>
      <c r="I18" s="32" t="n">
        <f aca="false">MAX(0,1-E18/F18)</f>
        <v>0.172437402190923</v>
      </c>
      <c r="J18" s="17" t="str">
        <f aca="false">IF(G18&lt;=0,"Competitivo",IF(G18&lt;=0.1,"Ajuste fino",IF(G18&lt;=0.2,"Precisa melhorar","Crítico")))</f>
        <v>Crítico</v>
      </c>
    </row>
    <row r="19" customFormat="false" ht="15" hidden="false" customHeight="false" outlineLevel="0" collapsed="false">
      <c r="B19" s="12" t="s">
        <v>55</v>
      </c>
      <c r="C19" s="17" t="s">
        <v>45</v>
      </c>
      <c r="D19" s="13" t="n">
        <v>9</v>
      </c>
      <c r="E19" s="14" t="n">
        <v>166.94</v>
      </c>
      <c r="F19" s="14" t="n">
        <v>197.37</v>
      </c>
      <c r="G19" s="15" t="n">
        <f aca="false">F19/E19-1</f>
        <v>0.182281059063137</v>
      </c>
      <c r="H19" s="16" t="n">
        <v>0.111111111111111</v>
      </c>
      <c r="I19" s="27" t="n">
        <f aca="false">MAX(0,1-E19/F19)</f>
        <v>0.154177433247201</v>
      </c>
      <c r="J19" s="17" t="str">
        <f aca="false">IF(G19&lt;=0,"Competitivo",IF(G19&lt;=0.1,"Ajuste fino",IF(G19&lt;=0.2,"Precisa melhorar","Crítico")))</f>
        <v>Precisa melhorar</v>
      </c>
    </row>
    <row r="20" customFormat="false" ht="15" hidden="false" customHeight="false" outlineLevel="0" collapsed="false">
      <c r="B20" s="18" t="s">
        <v>56</v>
      </c>
      <c r="C20" s="28" t="s">
        <v>45</v>
      </c>
      <c r="D20" s="29" t="n">
        <v>9</v>
      </c>
      <c r="E20" s="30" t="n">
        <v>196.59</v>
      </c>
      <c r="F20" s="30" t="n">
        <v>227.86</v>
      </c>
      <c r="G20" s="21" t="n">
        <f aca="false">F20/E20-1</f>
        <v>0.159062007223155</v>
      </c>
      <c r="H20" s="31" t="n">
        <v>0</v>
      </c>
      <c r="I20" s="32" t="n">
        <f aca="false">MAX(0,1-E20/F20)</f>
        <v>0.137233388923023</v>
      </c>
      <c r="J20" s="17" t="str">
        <f aca="false">IF(G20&lt;=0,"Competitivo",IF(G20&lt;=0.1,"Ajuste fino",IF(G20&lt;=0.2,"Precisa melhorar","Crítico")))</f>
        <v>Precisa melhorar</v>
      </c>
    </row>
    <row r="21" customFormat="false" ht="15" hidden="false" customHeight="false" outlineLevel="0" collapsed="false">
      <c r="B21" s="12" t="s">
        <v>57</v>
      </c>
      <c r="C21" s="17" t="s">
        <v>45</v>
      </c>
      <c r="D21" s="13" t="n">
        <v>9</v>
      </c>
      <c r="E21" s="14" t="n">
        <v>147.15</v>
      </c>
      <c r="F21" s="14" t="n">
        <v>172.04</v>
      </c>
      <c r="G21" s="15" t="n">
        <f aca="false">F21/E21-1</f>
        <v>0.169147128780156</v>
      </c>
      <c r="H21" s="16" t="n">
        <v>0</v>
      </c>
      <c r="I21" s="27" t="n">
        <f aca="false">MAX(0,1-E21/F21)</f>
        <v>0.144675656823994</v>
      </c>
      <c r="J21" s="17" t="str">
        <f aca="false">IF(G21&lt;=0,"Competitivo",IF(G21&lt;=0.1,"Ajuste fino",IF(G21&lt;=0.2,"Precisa melhorar","Crítico")))</f>
        <v>Precisa melhorar</v>
      </c>
    </row>
    <row r="22" customFormat="false" ht="15" hidden="false" customHeight="false" outlineLevel="0" collapsed="false">
      <c r="B22" s="18" t="s">
        <v>58</v>
      </c>
      <c r="C22" s="28" t="s">
        <v>45</v>
      </c>
      <c r="D22" s="29" t="n">
        <v>8</v>
      </c>
      <c r="E22" s="30" t="n">
        <v>171.19</v>
      </c>
      <c r="F22" s="30" t="n">
        <v>199.2</v>
      </c>
      <c r="G22" s="21" t="n">
        <f aca="false">F22/E22-1</f>
        <v>0.163619370290321</v>
      </c>
      <c r="H22" s="31" t="n">
        <v>0</v>
      </c>
      <c r="I22" s="32" t="n">
        <f aca="false">MAX(0,1-E22/F22)</f>
        <v>0.140612449799197</v>
      </c>
      <c r="J22" s="17" t="str">
        <f aca="false">IF(G22&lt;=0,"Competitivo",IF(G22&lt;=0.1,"Ajuste fino",IF(G22&lt;=0.2,"Precisa melhorar","Crítico")))</f>
        <v>Precisa melhorar</v>
      </c>
    </row>
    <row r="23" customFormat="false" ht="15" hidden="false" customHeight="false" outlineLevel="0" collapsed="false">
      <c r="B23" s="12" t="s">
        <v>59</v>
      </c>
      <c r="C23" s="17" t="s">
        <v>45</v>
      </c>
      <c r="D23" s="13" t="n">
        <v>8</v>
      </c>
      <c r="E23" s="14" t="n">
        <v>169.69</v>
      </c>
      <c r="F23" s="14" t="n">
        <v>194.24</v>
      </c>
      <c r="G23" s="15" t="n">
        <f aca="false">F23/E23-1</f>
        <v>0.144675584890094</v>
      </c>
      <c r="H23" s="16" t="n">
        <v>0</v>
      </c>
      <c r="I23" s="27" t="n">
        <f aca="false">MAX(0,1-E23/F23)</f>
        <v>0.126390032948929</v>
      </c>
      <c r="J23" s="17" t="str">
        <f aca="false">IF(G23&lt;=0,"Competitivo",IF(G23&lt;=0.1,"Ajuste fino",IF(G23&lt;=0.2,"Precisa melhorar","Crítico")))</f>
        <v>Precisa melhorar</v>
      </c>
    </row>
    <row r="24" customFormat="false" ht="15" hidden="false" customHeight="false" outlineLevel="0" collapsed="false">
      <c r="B24" s="18" t="s">
        <v>60</v>
      </c>
      <c r="C24" s="28" t="s">
        <v>45</v>
      </c>
      <c r="D24" s="29" t="n">
        <v>8</v>
      </c>
      <c r="E24" s="30" t="n">
        <v>181.62</v>
      </c>
      <c r="F24" s="30" t="n">
        <v>217.89</v>
      </c>
      <c r="G24" s="21" t="n">
        <f aca="false">F24/E24-1</f>
        <v>0.199702675916749</v>
      </c>
      <c r="H24" s="31" t="n">
        <v>0</v>
      </c>
      <c r="I24" s="32" t="n">
        <f aca="false">MAX(0,1-E24/F24)</f>
        <v>0.166460140437836</v>
      </c>
      <c r="J24" s="17" t="str">
        <f aca="false">IF(G24&lt;=0,"Competitivo",IF(G24&lt;=0.1,"Ajuste fino",IF(G24&lt;=0.2,"Precisa melhorar","Crítico")))</f>
        <v>Precisa melhorar</v>
      </c>
    </row>
    <row r="25" customFormat="false" ht="15" hidden="false" customHeight="false" outlineLevel="0" collapsed="false">
      <c r="B25" s="33" t="s">
        <v>61</v>
      </c>
      <c r="C25" s="34"/>
      <c r="D25" s="35" t="n">
        <f aca="false">SUM(D5:D24)</f>
        <v>1026</v>
      </c>
      <c r="E25" s="36" t="n">
        <f aca="false">SUMPRODUCT(D5:D24,E5:E24)/D25</f>
        <v>157.124259259259</v>
      </c>
      <c r="F25" s="36" t="n">
        <f aca="false">SUMPRODUCT(D5:D24,F5:F24)/D25</f>
        <v>174.745711500975</v>
      </c>
      <c r="G25" s="37" t="n">
        <f aca="false">F25/E25-1</f>
        <v>0.112149787211659</v>
      </c>
      <c r="H25" s="38" t="n">
        <v>0.317738791423002</v>
      </c>
      <c r="I25" s="39" t="n">
        <f aca="false">MAX(0,1-E25/F25)</f>
        <v>0.100840541895743</v>
      </c>
      <c r="J25" s="23" t="str">
        <f aca="false">IF(G25&lt;=0,"Competitivo",IF(G25&lt;=0.1,"Ajuste fino",IF(G25&lt;=0.2,"Precisa melhorar","Crítico")))</f>
        <v>Precisa melhorar</v>
      </c>
    </row>
    <row r="27" customFormat="false" ht="15" hidden="false" customHeight="false" outlineLevel="0" collapsed="false">
      <c r="B27" s="40" t="s">
        <v>62</v>
      </c>
    </row>
    <row r="28" customFormat="false" ht="15" hidden="false" customHeight="false" outlineLevel="0" collapsed="false">
      <c r="B28" s="41" t="s">
        <v>63</v>
      </c>
    </row>
    <row r="29" customFormat="false" ht="15" hidden="false" customHeight="false" outlineLevel="0" collapsed="false">
      <c r="B29" s="42" t="s">
        <v>64</v>
      </c>
    </row>
    <row r="30" customFormat="false" ht="15" hidden="false" customHeight="false" outlineLevel="0" collapsed="false">
      <c r="B30" s="43" t="s">
        <v>65</v>
      </c>
    </row>
    <row r="31" customFormat="false" ht="15" hidden="false" customHeight="false" outlineLevel="0" collapsed="false">
      <c r="B31" s="44" t="s">
        <v>66</v>
      </c>
    </row>
  </sheetData>
  <mergeCells count="2">
    <mergeCell ref="B1:J1"/>
    <mergeCell ref="B2:J2"/>
  </mergeCells>
  <conditionalFormatting sqref="G5:G25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J5:J25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conditionalFormatting sqref="I5:I24">
    <cfRule type="colorScale" priority="8">
      <colorScale>
        <cfvo type="num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6" hidden="false" customHeight="true" outlineLevel="0" collapsed="false">
      <c r="B1" s="1" t="s">
        <v>67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">
        <v>68</v>
      </c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11" t="s">
        <v>69</v>
      </c>
      <c r="C4" s="11" t="s">
        <v>9</v>
      </c>
      <c r="D4" s="11" t="s">
        <v>70</v>
      </c>
      <c r="E4" s="11" t="s">
        <v>71</v>
      </c>
      <c r="F4" s="11" t="s">
        <v>37</v>
      </c>
      <c r="G4" s="11" t="s">
        <v>72</v>
      </c>
      <c r="H4" s="11" t="s">
        <v>12</v>
      </c>
      <c r="I4" s="11" t="s">
        <v>73</v>
      </c>
      <c r="J4" s="11" t="s">
        <v>13</v>
      </c>
    </row>
    <row r="5" customFormat="false" ht="15" hidden="false" customHeight="false" outlineLevel="0" collapsed="false">
      <c r="B5" s="23" t="s">
        <v>74</v>
      </c>
      <c r="C5" s="13" t="n">
        <v>126</v>
      </c>
      <c r="D5" s="14" t="n">
        <v>88.54</v>
      </c>
      <c r="E5" s="14" t="n">
        <v>65.75</v>
      </c>
      <c r="F5" s="14" t="n">
        <v>127.86</v>
      </c>
      <c r="G5" s="15" t="n">
        <f aca="false">F5/D5-1</f>
        <v>0.444093065281229</v>
      </c>
      <c r="H5" s="16" t="n">
        <v>0.198412698412698</v>
      </c>
      <c r="I5" s="27" t="n">
        <f aca="false">MAX(0,1-D5/F5)</f>
        <v>0.307523854215548</v>
      </c>
      <c r="J5" s="17" t="str">
        <f aca="false">IF(G5&lt;=0,"Competitivo",IF(G5&lt;=0.1,"Ajuste fino",IF(G5&lt;=0.2,"Precisa melhorar","Crítico")))</f>
        <v>Crítico</v>
      </c>
    </row>
    <row r="6" customFormat="false" ht="15" hidden="false" customHeight="false" outlineLevel="0" collapsed="false">
      <c r="B6" s="23" t="s">
        <v>75</v>
      </c>
      <c r="C6" s="13" t="n">
        <v>383</v>
      </c>
      <c r="D6" s="14" t="n">
        <v>131.21</v>
      </c>
      <c r="E6" s="14" t="n">
        <v>84.14</v>
      </c>
      <c r="F6" s="14" t="n">
        <v>143.81</v>
      </c>
      <c r="G6" s="15" t="n">
        <f aca="false">F6/D6-1</f>
        <v>0.0960292660620379</v>
      </c>
      <c r="H6" s="16" t="n">
        <v>0.305483028720627</v>
      </c>
      <c r="I6" s="27" t="n">
        <f aca="false">MAX(0,1-D6/F6)</f>
        <v>0.0876156039218413</v>
      </c>
      <c r="J6" s="17" t="str">
        <f aca="false">IF(G6&lt;=0,"Competitivo",IF(G6&lt;=0.1,"Ajuste fino",IF(G6&lt;=0.2,"Precisa melhorar","Crítico")))</f>
        <v>Ajuste fino</v>
      </c>
    </row>
    <row r="7" customFormat="false" ht="15" hidden="false" customHeight="false" outlineLevel="0" collapsed="false">
      <c r="B7" s="23" t="s">
        <v>76</v>
      </c>
      <c r="C7" s="13" t="n">
        <v>267</v>
      </c>
      <c r="D7" s="14" t="n">
        <v>163.15</v>
      </c>
      <c r="E7" s="14" t="n">
        <v>137.18</v>
      </c>
      <c r="F7" s="14" t="n">
        <v>172.57</v>
      </c>
      <c r="G7" s="15" t="n">
        <f aca="false">F7/D7-1</f>
        <v>0.0577382776585964</v>
      </c>
      <c r="H7" s="16" t="n">
        <v>0.363295880149813</v>
      </c>
      <c r="I7" s="27" t="n">
        <f aca="false">MAX(0,1-D7/F7)</f>
        <v>0.0545865445906009</v>
      </c>
      <c r="J7" s="17" t="str">
        <f aca="false">IF(G7&lt;=0,"Competitivo",IF(G7&lt;=0.1,"Ajuste fino",IF(G7&lt;=0.2,"Precisa melhorar","Crítico")))</f>
        <v>Ajuste fino</v>
      </c>
    </row>
    <row r="8" customFormat="false" ht="15" hidden="false" customHeight="false" outlineLevel="0" collapsed="false">
      <c r="B8" s="23" t="s">
        <v>77</v>
      </c>
      <c r="C8" s="13" t="n">
        <v>107</v>
      </c>
      <c r="D8" s="14" t="n">
        <v>186.06</v>
      </c>
      <c r="E8" s="14" t="n">
        <v>136.67</v>
      </c>
      <c r="F8" s="14" t="n">
        <v>188.54</v>
      </c>
      <c r="G8" s="15" t="n">
        <f aca="false">F8/D8-1</f>
        <v>0.0133290336450607</v>
      </c>
      <c r="H8" s="16" t="n">
        <v>0.523364485981308</v>
      </c>
      <c r="I8" s="27" t="n">
        <f aca="false">MAX(0,1-D8/F8)</f>
        <v>0.0131537074360878</v>
      </c>
      <c r="J8" s="17" t="str">
        <f aca="false">IF(G8&lt;=0,"Competitivo",IF(G8&lt;=0.1,"Ajuste fino",IF(G8&lt;=0.2,"Precisa melhorar","Crítico")))</f>
        <v>Ajuste fino</v>
      </c>
    </row>
    <row r="9" customFormat="false" ht="15" hidden="false" customHeight="false" outlineLevel="0" collapsed="false">
      <c r="B9" s="23" t="s">
        <v>78</v>
      </c>
      <c r="C9" s="13" t="n">
        <v>45</v>
      </c>
      <c r="D9" s="14" t="n">
        <v>211.55</v>
      </c>
      <c r="E9" s="14" t="n">
        <v>165.57</v>
      </c>
      <c r="F9" s="14" t="n">
        <v>221.14</v>
      </c>
      <c r="G9" s="15" t="n">
        <f aca="false">F9/D9-1</f>
        <v>0.0453320727960291</v>
      </c>
      <c r="H9" s="16" t="n">
        <v>0.577777777777778</v>
      </c>
      <c r="I9" s="27" t="n">
        <f aca="false">MAX(0,1-D9/F9)</f>
        <v>0.0433661933616712</v>
      </c>
      <c r="J9" s="17" t="str">
        <f aca="false">IF(G9&lt;=0,"Competitivo",IF(G9&lt;=0.1,"Ajuste fino",IF(G9&lt;=0.2,"Precisa melhorar","Crítico")))</f>
        <v>Ajuste fino</v>
      </c>
    </row>
    <row r="10" customFormat="false" ht="15" hidden="false" customHeight="false" outlineLevel="0" collapsed="false">
      <c r="B10" s="23" t="s">
        <v>79</v>
      </c>
      <c r="C10" s="13" t="n">
        <v>48</v>
      </c>
      <c r="D10" s="14" t="n">
        <v>247.44</v>
      </c>
      <c r="E10" s="14" t="n">
        <v>181.7</v>
      </c>
      <c r="F10" s="14" t="n">
        <v>295.34</v>
      </c>
      <c r="G10" s="15" t="n">
        <f aca="false">F10/D10-1</f>
        <v>0.193582282573553</v>
      </c>
      <c r="H10" s="16" t="n">
        <v>0.0625</v>
      </c>
      <c r="I10" s="27" t="n">
        <f aca="false">MAX(0,1-D10/F10)</f>
        <v>0.162185955170312</v>
      </c>
      <c r="J10" s="17" t="str">
        <f aca="false">IF(G10&lt;=0,"Competitivo",IF(G10&lt;=0.1,"Ajuste fino",IF(G10&lt;=0.2,"Precisa melhorar","Crítico")))</f>
        <v>Precisa melhorar</v>
      </c>
    </row>
    <row r="11" customFormat="false" ht="15" hidden="false" customHeight="false" outlineLevel="0" collapsed="false">
      <c r="B11" s="23" t="s">
        <v>80</v>
      </c>
      <c r="C11" s="13" t="n">
        <v>39</v>
      </c>
      <c r="D11" s="14" t="n">
        <v>280.68</v>
      </c>
      <c r="E11" s="14" t="n">
        <v>209.63</v>
      </c>
      <c r="F11" s="14" t="n">
        <v>317.14</v>
      </c>
      <c r="G11" s="15" t="n">
        <f aca="false">F11/D11-1</f>
        <v>0.12989881715833</v>
      </c>
      <c r="H11" s="16" t="n">
        <v>0.0512820512820513</v>
      </c>
      <c r="I11" s="27" t="n">
        <f aca="false">MAX(0,1-D11/F11)</f>
        <v>0.114964999684682</v>
      </c>
      <c r="J11" s="17" t="str">
        <f aca="false">IF(G11&lt;=0,"Competitivo",IF(G11&lt;=0.1,"Ajuste fino",IF(G11&lt;=0.2,"Precisa melhorar","Crítico")))</f>
        <v>Precisa melhorar</v>
      </c>
    </row>
    <row r="12" customFormat="false" ht="15" hidden="false" customHeight="false" outlineLevel="0" collapsed="false">
      <c r="B12" s="23" t="s">
        <v>81</v>
      </c>
      <c r="C12" s="13" t="n">
        <v>11</v>
      </c>
      <c r="D12" s="14" t="n">
        <v>362.42</v>
      </c>
      <c r="E12" s="14" t="n">
        <v>299.86</v>
      </c>
      <c r="F12" s="14" t="n">
        <v>486.56</v>
      </c>
      <c r="G12" s="15" t="n">
        <f aca="false">F12/D12-1</f>
        <v>0.342530765410297</v>
      </c>
      <c r="H12" s="16" t="n">
        <v>0</v>
      </c>
      <c r="I12" s="27" t="n">
        <f aca="false">MAX(0,1-D12/F12)</f>
        <v>0.255138112463006</v>
      </c>
      <c r="J12" s="17" t="str">
        <f aca="false">IF(G12&lt;=0,"Competitivo",IF(G12&lt;=0.1,"Ajuste fino",IF(G12&lt;=0.2,"Precisa melhorar","Crítico")))</f>
        <v>Crítico</v>
      </c>
    </row>
    <row r="14" customFormat="false" ht="15" hidden="false" customHeight="false" outlineLevel="0" collapsed="false">
      <c r="B14" s="40" t="s">
        <v>62</v>
      </c>
    </row>
    <row r="15" customFormat="false" ht="15" hidden="false" customHeight="false" outlineLevel="0" collapsed="false">
      <c r="B15" s="41" t="s">
        <v>63</v>
      </c>
    </row>
    <row r="16" customFormat="false" ht="15" hidden="false" customHeight="false" outlineLevel="0" collapsed="false">
      <c r="B16" s="42" t="s">
        <v>64</v>
      </c>
    </row>
    <row r="17" customFormat="false" ht="15" hidden="false" customHeight="false" outlineLevel="0" collapsed="false">
      <c r="B17" s="43" t="s">
        <v>65</v>
      </c>
    </row>
    <row r="18" customFormat="false" ht="15" hidden="false" customHeight="false" outlineLevel="0" collapsed="false">
      <c r="B18" s="44" t="s">
        <v>66</v>
      </c>
    </row>
    <row r="37" customFormat="false" ht="15" hidden="false" customHeight="false" outlineLevel="0" collapsed="false">
      <c r="B37" s="9" t="s">
        <v>82</v>
      </c>
      <c r="C37" s="10"/>
      <c r="D37" s="10"/>
      <c r="E37" s="10"/>
      <c r="F37" s="10"/>
      <c r="G37" s="10"/>
      <c r="H37" s="10"/>
      <c r="I37" s="10"/>
      <c r="J37" s="10"/>
    </row>
    <row r="38" customFormat="false" ht="31.5" hidden="false" customHeight="true" outlineLevel="0" collapsed="false">
      <c r="B38" s="11" t="s">
        <v>35</v>
      </c>
      <c r="C38" s="11" t="s">
        <v>74</v>
      </c>
      <c r="D38" s="11" t="s">
        <v>75</v>
      </c>
      <c r="E38" s="11" t="s">
        <v>76</v>
      </c>
      <c r="F38" s="11" t="s">
        <v>77</v>
      </c>
      <c r="G38" s="11" t="s">
        <v>78</v>
      </c>
      <c r="H38" s="11" t="s">
        <v>79</v>
      </c>
      <c r="I38" s="11" t="s">
        <v>80</v>
      </c>
      <c r="J38" s="11" t="s">
        <v>81</v>
      </c>
    </row>
    <row r="39" customFormat="false" ht="15" hidden="false" customHeight="false" outlineLevel="0" collapsed="false">
      <c r="B39" s="12" t="s">
        <v>39</v>
      </c>
      <c r="C39" s="45" t="n">
        <v>0.4267</v>
      </c>
      <c r="D39" s="45" t="n">
        <v>0.0291</v>
      </c>
      <c r="E39" s="45" t="n">
        <v>-0.0338</v>
      </c>
      <c r="F39" s="45" t="n">
        <v>-0.0396</v>
      </c>
      <c r="G39" s="45" t="n">
        <v>-0.0435</v>
      </c>
      <c r="H39" s="45" t="n">
        <v>0.1689</v>
      </c>
      <c r="I39" s="45" t="n">
        <v>0.1134</v>
      </c>
      <c r="J39" s="46" t="s">
        <v>83</v>
      </c>
    </row>
    <row r="40" customFormat="false" ht="15" hidden="false" customHeight="false" outlineLevel="0" collapsed="false">
      <c r="B40" s="12" t="s">
        <v>41</v>
      </c>
      <c r="C40" s="45" t="n">
        <v>0.3916</v>
      </c>
      <c r="D40" s="45" t="n">
        <v>0.0145</v>
      </c>
      <c r="E40" s="45" t="n">
        <v>-0.0137</v>
      </c>
      <c r="F40" s="45" t="n">
        <v>-0.0314</v>
      </c>
      <c r="G40" s="45" t="n">
        <v>-0.1012</v>
      </c>
      <c r="H40" s="45" t="n">
        <v>0.2002</v>
      </c>
      <c r="I40" s="45" t="n">
        <v>0.1286</v>
      </c>
      <c r="J40" s="46" t="s">
        <v>83</v>
      </c>
    </row>
    <row r="41" customFormat="false" ht="15" hidden="false" customHeight="false" outlineLevel="0" collapsed="false">
      <c r="B41" s="12" t="s">
        <v>42</v>
      </c>
      <c r="C41" s="45" t="n">
        <v>0.1378</v>
      </c>
      <c r="D41" s="45" t="n">
        <v>0.0745</v>
      </c>
      <c r="E41" s="45" t="n">
        <v>0.0556</v>
      </c>
      <c r="F41" s="45" t="n">
        <v>0.0728</v>
      </c>
      <c r="G41" s="45" t="n">
        <v>-0.0146</v>
      </c>
      <c r="H41" s="45" t="n">
        <v>0.1621</v>
      </c>
      <c r="I41" s="46" t="s">
        <v>83</v>
      </c>
      <c r="J41" s="46" t="s">
        <v>83</v>
      </c>
    </row>
    <row r="42" customFormat="false" ht="15" hidden="false" customHeight="false" outlineLevel="0" collapsed="false">
      <c r="B42" s="12" t="s">
        <v>43</v>
      </c>
      <c r="C42" s="45" t="n">
        <v>-0.0804</v>
      </c>
      <c r="D42" s="45" t="n">
        <v>-0.0161</v>
      </c>
      <c r="E42" s="45" t="n">
        <v>-0.0396</v>
      </c>
      <c r="F42" s="45" t="n">
        <v>-0.1065</v>
      </c>
      <c r="G42" s="45" t="n">
        <v>-0.035</v>
      </c>
      <c r="H42" s="45" t="n">
        <v>0.2507</v>
      </c>
      <c r="I42" s="45" t="n">
        <v>0.1129</v>
      </c>
      <c r="J42" s="46" t="s">
        <v>83</v>
      </c>
    </row>
    <row r="43" customFormat="false" ht="15" hidden="false" customHeight="false" outlineLevel="0" collapsed="false">
      <c r="B43" s="12" t="s">
        <v>44</v>
      </c>
      <c r="C43" s="45" t="n">
        <v>1.3533</v>
      </c>
      <c r="D43" s="45" t="n">
        <v>0.3008</v>
      </c>
      <c r="E43" s="45" t="n">
        <v>0.1808</v>
      </c>
      <c r="F43" s="45" t="n">
        <v>0.2145</v>
      </c>
      <c r="G43" s="45" t="n">
        <v>0.1774</v>
      </c>
      <c r="H43" s="46" t="s">
        <v>83</v>
      </c>
      <c r="I43" s="46" t="s">
        <v>83</v>
      </c>
      <c r="J43" s="46" t="s">
        <v>83</v>
      </c>
    </row>
    <row r="44" customFormat="false" ht="15" hidden="false" customHeight="false" outlineLevel="0" collapsed="false">
      <c r="B44" s="12" t="s">
        <v>46</v>
      </c>
      <c r="C44" s="45" t="n">
        <v>1.4968</v>
      </c>
      <c r="D44" s="45" t="n">
        <v>0.2315</v>
      </c>
      <c r="E44" s="45" t="n">
        <v>0.2148</v>
      </c>
      <c r="F44" s="45" t="n">
        <v>0.0539</v>
      </c>
      <c r="G44" s="46" t="s">
        <v>83</v>
      </c>
      <c r="H44" s="46" t="s">
        <v>83</v>
      </c>
      <c r="I44" s="46" t="s">
        <v>83</v>
      </c>
      <c r="J44" s="46" t="s">
        <v>83</v>
      </c>
    </row>
    <row r="45" customFormat="false" ht="15" hidden="false" customHeight="false" outlineLevel="0" collapsed="false">
      <c r="B45" s="12" t="s">
        <v>47</v>
      </c>
      <c r="C45" s="45" t="n">
        <v>0.5783</v>
      </c>
      <c r="D45" s="45" t="n">
        <v>0.3873</v>
      </c>
      <c r="E45" s="45" t="n">
        <v>0.2191</v>
      </c>
      <c r="F45" s="45" t="n">
        <v>0.0488</v>
      </c>
      <c r="G45" s="46" t="s">
        <v>83</v>
      </c>
      <c r="H45" s="46" t="s">
        <v>83</v>
      </c>
      <c r="I45" s="45" t="n">
        <v>0.0717</v>
      </c>
      <c r="J45" s="46" t="s">
        <v>83</v>
      </c>
    </row>
    <row r="46" customFormat="false" ht="15" hidden="false" customHeight="false" outlineLevel="0" collapsed="false">
      <c r="B46" s="12" t="s">
        <v>48</v>
      </c>
      <c r="C46" s="45" t="n">
        <v>0.7352</v>
      </c>
      <c r="D46" s="45" t="n">
        <v>0.2434</v>
      </c>
      <c r="E46" s="45" t="n">
        <v>0.2176</v>
      </c>
      <c r="F46" s="45" t="n">
        <v>0.1336</v>
      </c>
      <c r="G46" s="46" t="s">
        <v>83</v>
      </c>
      <c r="H46" s="46" t="s">
        <v>83</v>
      </c>
      <c r="I46" s="46" t="s">
        <v>83</v>
      </c>
      <c r="J46" s="46" t="s">
        <v>83</v>
      </c>
    </row>
    <row r="47" customFormat="false" ht="15" hidden="false" customHeight="false" outlineLevel="0" collapsed="false">
      <c r="B47" s="12" t="s">
        <v>49</v>
      </c>
      <c r="C47" s="45" t="n">
        <v>0.3656</v>
      </c>
      <c r="D47" s="45" t="n">
        <v>0.2439</v>
      </c>
      <c r="E47" s="45" t="n">
        <v>0.1644</v>
      </c>
      <c r="F47" s="46" t="s">
        <v>83</v>
      </c>
      <c r="G47" s="45" t="n">
        <v>0.2395</v>
      </c>
      <c r="H47" s="46" t="s">
        <v>83</v>
      </c>
      <c r="I47" s="46" t="s">
        <v>83</v>
      </c>
      <c r="J47" s="46" t="s">
        <v>83</v>
      </c>
    </row>
    <row r="48" customFormat="false" ht="15" hidden="false" customHeight="false" outlineLevel="0" collapsed="false">
      <c r="B48" s="12" t="s">
        <v>50</v>
      </c>
      <c r="C48" s="45" t="n">
        <v>-0.1412</v>
      </c>
      <c r="D48" s="45" t="n">
        <v>0.0136</v>
      </c>
      <c r="E48" s="45" t="n">
        <v>-0.063</v>
      </c>
      <c r="F48" s="46" t="s">
        <v>83</v>
      </c>
      <c r="G48" s="46" t="s">
        <v>83</v>
      </c>
      <c r="H48" s="46" t="s">
        <v>83</v>
      </c>
      <c r="I48" s="46" t="s">
        <v>83</v>
      </c>
      <c r="J48" s="46" t="s">
        <v>83</v>
      </c>
    </row>
    <row r="49" customFormat="false" ht="15" hidden="false" customHeight="false" outlineLevel="0" collapsed="false">
      <c r="B49" s="12" t="s">
        <v>51</v>
      </c>
      <c r="C49" s="45" t="n">
        <v>0.4648</v>
      </c>
      <c r="D49" s="45" t="n">
        <v>0.2038</v>
      </c>
      <c r="E49" s="45" t="n">
        <v>0.2143</v>
      </c>
      <c r="F49" s="45" t="n">
        <v>0.0839</v>
      </c>
      <c r="G49" s="46" t="s">
        <v>83</v>
      </c>
      <c r="H49" s="46" t="s">
        <v>83</v>
      </c>
      <c r="I49" s="46" t="s">
        <v>83</v>
      </c>
      <c r="J49" s="46" t="s">
        <v>83</v>
      </c>
    </row>
    <row r="50" customFormat="false" ht="15" hidden="false" customHeight="false" outlineLevel="0" collapsed="false">
      <c r="B50" s="12" t="s">
        <v>52</v>
      </c>
      <c r="C50" s="46" t="s">
        <v>83</v>
      </c>
      <c r="D50" s="45" t="n">
        <v>0.181</v>
      </c>
      <c r="E50" s="45" t="n">
        <v>0.2188</v>
      </c>
      <c r="F50" s="45" t="n">
        <v>0.0248</v>
      </c>
      <c r="G50" s="46" t="s">
        <v>83</v>
      </c>
      <c r="H50" s="46" t="s">
        <v>83</v>
      </c>
      <c r="I50" s="46" t="s">
        <v>83</v>
      </c>
      <c r="J50" s="46" t="s">
        <v>83</v>
      </c>
    </row>
    <row r="51" customFormat="false" ht="15" hidden="false" customHeight="false" outlineLevel="0" collapsed="false">
      <c r="B51" s="12" t="s">
        <v>53</v>
      </c>
      <c r="C51" s="46" t="s">
        <v>83</v>
      </c>
      <c r="D51" s="45" t="n">
        <v>0.1552</v>
      </c>
      <c r="E51" s="45" t="n">
        <v>0.2686</v>
      </c>
      <c r="F51" s="46" t="s">
        <v>83</v>
      </c>
      <c r="G51" s="46" t="s">
        <v>83</v>
      </c>
      <c r="H51" s="46" t="s">
        <v>83</v>
      </c>
      <c r="I51" s="46" t="s">
        <v>83</v>
      </c>
      <c r="J51" s="46" t="s">
        <v>83</v>
      </c>
    </row>
    <row r="52" customFormat="false" ht="15" hidden="false" customHeight="false" outlineLevel="0" collapsed="false">
      <c r="B52" s="12" t="s">
        <v>54</v>
      </c>
      <c r="C52" s="46" t="s">
        <v>83</v>
      </c>
      <c r="D52" s="46" t="s">
        <v>83</v>
      </c>
      <c r="E52" s="45" t="n">
        <v>0.1661</v>
      </c>
      <c r="F52" s="46" t="s">
        <v>83</v>
      </c>
      <c r="G52" s="46" t="s">
        <v>83</v>
      </c>
      <c r="H52" s="46" t="s">
        <v>83</v>
      </c>
      <c r="I52" s="46" t="s">
        <v>83</v>
      </c>
      <c r="J52" s="46" t="s">
        <v>83</v>
      </c>
    </row>
    <row r="53" customFormat="false" ht="15" hidden="false" customHeight="false" outlineLevel="0" collapsed="false">
      <c r="B53" s="12" t="s">
        <v>55</v>
      </c>
      <c r="C53" s="45" t="n">
        <v>0.3992</v>
      </c>
      <c r="D53" s="45" t="n">
        <v>0.1865</v>
      </c>
      <c r="E53" s="46" t="s">
        <v>83</v>
      </c>
      <c r="F53" s="46" t="s">
        <v>83</v>
      </c>
      <c r="G53" s="46" t="s">
        <v>83</v>
      </c>
      <c r="H53" s="46" t="s">
        <v>83</v>
      </c>
      <c r="I53" s="46" t="s">
        <v>83</v>
      </c>
      <c r="J53" s="46" t="s">
        <v>83</v>
      </c>
    </row>
    <row r="54" customFormat="false" ht="15" hidden="false" customHeight="false" outlineLevel="0" collapsed="false">
      <c r="B54" s="12" t="s">
        <v>56</v>
      </c>
      <c r="C54" s="46" t="s">
        <v>83</v>
      </c>
      <c r="D54" s="46" t="s">
        <v>83</v>
      </c>
      <c r="E54" s="45" t="n">
        <v>0.2012</v>
      </c>
      <c r="F54" s="46" t="s">
        <v>83</v>
      </c>
      <c r="G54" s="46" t="s">
        <v>83</v>
      </c>
      <c r="H54" s="46" t="s">
        <v>83</v>
      </c>
      <c r="I54" s="46" t="s">
        <v>83</v>
      </c>
      <c r="J54" s="46" t="s">
        <v>83</v>
      </c>
    </row>
    <row r="55" customFormat="false" ht="15" hidden="false" customHeight="false" outlineLevel="0" collapsed="false">
      <c r="B55" s="12" t="s">
        <v>57</v>
      </c>
      <c r="C55" s="46" t="s">
        <v>83</v>
      </c>
      <c r="D55" s="45" t="n">
        <v>0.1564</v>
      </c>
      <c r="E55" s="46" t="s">
        <v>83</v>
      </c>
      <c r="F55" s="46" t="s">
        <v>83</v>
      </c>
      <c r="G55" s="46" t="s">
        <v>83</v>
      </c>
      <c r="H55" s="46" t="s">
        <v>83</v>
      </c>
      <c r="I55" s="46" t="s">
        <v>83</v>
      </c>
      <c r="J55" s="46" t="s">
        <v>83</v>
      </c>
    </row>
    <row r="56" customFormat="false" ht="15" hidden="false" customHeight="false" outlineLevel="0" collapsed="false">
      <c r="B56" s="12" t="s">
        <v>58</v>
      </c>
      <c r="C56" s="46" t="s">
        <v>83</v>
      </c>
      <c r="D56" s="45" t="n">
        <v>0.0898</v>
      </c>
      <c r="E56" s="45" t="n">
        <v>0.1339</v>
      </c>
      <c r="F56" s="46" t="s">
        <v>83</v>
      </c>
      <c r="G56" s="46" t="s">
        <v>83</v>
      </c>
      <c r="H56" s="46" t="s">
        <v>83</v>
      </c>
      <c r="I56" s="46" t="s">
        <v>83</v>
      </c>
      <c r="J56" s="46" t="s">
        <v>83</v>
      </c>
    </row>
    <row r="57" customFormat="false" ht="15" hidden="false" customHeight="false" outlineLevel="0" collapsed="false">
      <c r="B57" s="12" t="s">
        <v>59</v>
      </c>
      <c r="C57" s="46" t="s">
        <v>83</v>
      </c>
      <c r="D57" s="45" t="n">
        <v>0.157</v>
      </c>
      <c r="E57" s="45" t="n">
        <v>0.1797</v>
      </c>
      <c r="F57" s="46" t="s">
        <v>83</v>
      </c>
      <c r="G57" s="46" t="s">
        <v>83</v>
      </c>
      <c r="H57" s="46" t="s">
        <v>83</v>
      </c>
      <c r="I57" s="46" t="s">
        <v>83</v>
      </c>
      <c r="J57" s="46" t="s">
        <v>83</v>
      </c>
    </row>
    <row r="58" customFormat="false" ht="15" hidden="false" customHeight="false" outlineLevel="0" collapsed="false">
      <c r="B58" s="12" t="s">
        <v>60</v>
      </c>
      <c r="C58" s="46" t="s">
        <v>83</v>
      </c>
      <c r="D58" s="46" t="s">
        <v>83</v>
      </c>
      <c r="E58" s="46" t="s">
        <v>83</v>
      </c>
      <c r="F58" s="46" t="s">
        <v>83</v>
      </c>
      <c r="G58" s="46" t="s">
        <v>83</v>
      </c>
      <c r="H58" s="46" t="s">
        <v>83</v>
      </c>
      <c r="I58" s="46" t="s">
        <v>83</v>
      </c>
      <c r="J58" s="46" t="s">
        <v>83</v>
      </c>
    </row>
    <row r="59" customFormat="false" ht="15" hidden="false" customHeight="false" outlineLevel="0" collapsed="false">
      <c r="B59" s="47" t="s">
        <v>84</v>
      </c>
    </row>
  </sheetData>
  <mergeCells count="2">
    <mergeCell ref="B1:J1"/>
    <mergeCell ref="B2:J2"/>
  </mergeCells>
  <conditionalFormatting sqref="G5:G12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0.1</formula>
    </cfRule>
  </conditionalFormatting>
  <conditionalFormatting sqref="J5:J12">
    <cfRule type="cellIs" priority="4" operator="equal" aboveAverage="0" equalAverage="0" bottom="0" percent="0" rank="0" text="" dxfId="2">
      <formula>"Competitivo"</formula>
    </cfRule>
    <cfRule type="cellIs" priority="5" operator="equal" aboveAverage="0" equalAverage="0" bottom="0" percent="0" rank="0" text="" dxfId="3">
      <formula>"Ajuste fino"</formula>
    </cfRule>
    <cfRule type="cellIs" priority="6" operator="equal" aboveAverage="0" equalAverage="0" bottom="0" percent="0" rank="0" text="" dxfId="4">
      <formula>"Precisa melhorar"</formula>
    </cfRule>
    <cfRule type="cellIs" priority="7" operator="equal" aboveAverage="0" equalAverage="0" bottom="0" percent="0" rank="0" text="" dxfId="5">
      <formula>"Crítico"</formula>
    </cfRule>
  </conditionalFormatting>
  <conditionalFormatting sqref="I5:I12">
    <cfRule type="colorScale" priority="8">
      <colorScale>
        <cfvo type="num" val="0"/>
        <cfvo type="max" val="0"/>
        <color rgb="FFFFFFFF"/>
        <color rgb="FFF8696B"/>
      </colorScale>
    </cfRule>
  </conditionalFormatting>
  <conditionalFormatting sqref="C39:J58">
    <cfRule type="colorScale" priority="9">
      <colorScale>
        <cfvo type="num" val="-0.15"/>
        <cfvo type="num" val="0"/>
        <cfvo type="num" val="0.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36" hidden="false" customHeight="true" outlineLevel="0" collapsed="false">
      <c r="B1" s="48" t="s">
        <v>85</v>
      </c>
    </row>
    <row r="2" customFormat="false" ht="15" hidden="false" customHeight="false" outlineLevel="0" collapsed="false">
      <c r="B2" s="49" t="s">
        <v>86</v>
      </c>
    </row>
    <row r="4" customFormat="false" ht="15" hidden="false" customHeight="false" outlineLevel="0" collapsed="false">
      <c r="B4" s="50" t="s">
        <v>87</v>
      </c>
    </row>
    <row r="5" customFormat="false" ht="15" hidden="false" customHeight="false" outlineLevel="0" collapsed="false">
      <c r="B5" s="51" t="s">
        <v>88</v>
      </c>
    </row>
    <row r="6" customFormat="false" ht="15" hidden="false" customHeight="false" outlineLevel="0" collapsed="false">
      <c r="B6" s="50" t="s">
        <v>89</v>
      </c>
    </row>
    <row r="7" customFormat="false" ht="15" hidden="false" customHeight="false" outlineLevel="0" collapsed="false">
      <c r="B7" s="51" t="s">
        <v>90</v>
      </c>
    </row>
    <row r="8" customFormat="false" ht="15" hidden="false" customHeight="false" outlineLevel="0" collapsed="false">
      <c r="B8" s="50" t="s">
        <v>37</v>
      </c>
    </row>
    <row r="9" customFormat="false" ht="15" hidden="false" customHeight="false" outlineLevel="0" collapsed="false">
      <c r="B9" s="51" t="s">
        <v>91</v>
      </c>
    </row>
    <row r="10" customFormat="false" ht="15" hidden="false" customHeight="false" outlineLevel="0" collapsed="false">
      <c r="B10" s="51" t="s">
        <v>92</v>
      </c>
    </row>
    <row r="11" customFormat="false" ht="23.85" hidden="false" customHeight="false" outlineLevel="0" collapsed="false">
      <c r="B11" s="51" t="s">
        <v>93</v>
      </c>
    </row>
    <row r="12" customFormat="false" ht="15" hidden="false" customHeight="false" outlineLevel="0" collapsed="false">
      <c r="B12" s="51" t="s">
        <v>94</v>
      </c>
    </row>
    <row r="13" customFormat="false" ht="15" hidden="false" customHeight="false" outlineLevel="0" collapsed="false">
      <c r="B13" s="50" t="s">
        <v>95</v>
      </c>
    </row>
    <row r="14" customFormat="false" ht="15" hidden="false" customHeight="false" outlineLevel="0" collapsed="false">
      <c r="B14" s="51" t="s">
        <v>96</v>
      </c>
    </row>
    <row r="15" customFormat="false" ht="15" hidden="false" customHeight="false" outlineLevel="0" collapsed="false">
      <c r="B15" s="50" t="s">
        <v>97</v>
      </c>
    </row>
    <row r="16" customFormat="false" ht="15" hidden="false" customHeight="false" outlineLevel="0" collapsed="false">
      <c r="B16" s="51" t="s">
        <v>98</v>
      </c>
    </row>
    <row r="17" customFormat="false" ht="15" hidden="false" customHeight="false" outlineLevel="0" collapsed="false">
      <c r="B17" s="50" t="s">
        <v>99</v>
      </c>
    </row>
    <row r="18" customFormat="false" ht="15" hidden="false" customHeight="false" outlineLevel="0" collapsed="false">
      <c r="B18" s="5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2026-10-27T20:46:30Z</dcterms:created>
  <dc:creator>openpyxl</dc:creator>
  <dc:description/>
  <dc:language>en-US</dc:language>
  <cp:lastModifiedBy/>
  <dcterms:modified xsi:type="dcterms:W3CDTF">2026-10-27T20:46:32Z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