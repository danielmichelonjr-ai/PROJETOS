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Geral" sheetId="1" state="visible" r:id="rId1"/>
    <sheet name="Resumo RAJLOG" sheetId="2" state="visible" r:id="rId2"/>
    <sheet name="Comparativo por C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+0.0%;-0.0%;0.0%"/>
    <numFmt numFmtId="166" formatCode="0.0%"/>
    <numFmt numFmtId="167" formatCode="0.0"/>
  </numFmts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sz val="9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0" fontId="9" fillId="0" borderId="0" pivotButton="0" quotePrefix="0" xfId="0"/>
    <xf numFmtId="0" fontId="6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2" fillId="0" borderId="0" pivotButton="0" quotePrefix="0" xfId="0"/>
    <xf numFmtId="165" fontId="5" fillId="0" borderId="1" pivotButton="0" quotePrefix="0" xfId="0"/>
    <xf numFmtId="165" fontId="6" fillId="0" borderId="1" pivotButton="0" quotePrefix="0" xfId="0"/>
    <xf numFmtId="0" fontId="6" fillId="5" borderId="1" pivotButton="0" quotePrefix="0" xfId="0"/>
    <xf numFmtId="165" fontId="6" fillId="5" borderId="1" pivotButton="0" quotePrefix="0" xfId="0"/>
    <xf numFmtId="0" fontId="6" fillId="5" borderId="0" applyAlignment="1" pivotButton="0" quotePrefix="0" xfId="0">
      <alignment horizontal="center"/>
    </xf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/>
    </xf>
    <xf numFmtId="164" fontId="5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7" fillId="5" borderId="1" pivotButton="0" quotePrefix="0" xfId="0"/>
    <xf numFmtId="164" fontId="5" fillId="5" borderId="1" applyAlignment="1" pivotButton="0" quotePrefix="0" xfId="0">
      <alignment horizontal="center"/>
    </xf>
    <xf numFmtId="0" fontId="5" fillId="5" borderId="1" pivotButton="0" quotePrefix="0" xfId="0"/>
    <xf numFmtId="49" fontId="8" fillId="5" borderId="1" applyAlignment="1" pivotButton="0" quotePrefix="0" xfId="0">
      <alignment horizontal="center" wrapText="1"/>
    </xf>
    <xf numFmtId="0" fontId="8" fillId="5" borderId="1" pivotButton="0" quotePrefix="0" xfId="0"/>
    <xf numFmtId="49" fontId="5" fillId="5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Quantas vezes cada transportadora foi a mais barata (26 cidades x 6 faixas = 156 cotações)</t>
        </is>
      </c>
    </row>
    <row r="3" ht="30" customHeight="1">
      <c r="A3" s="2" t="inlineStr">
        <is>
          <t>Transportadora</t>
        </is>
      </c>
      <c r="B3" s="2" t="inlineStr">
        <is>
          <t>20 kg</t>
        </is>
      </c>
      <c r="C3" s="2" t="inlineStr">
        <is>
          <t>40 kg</t>
        </is>
      </c>
      <c r="D3" s="2" t="inlineStr">
        <is>
          <t>60 kg</t>
        </is>
      </c>
      <c r="E3" s="2" t="inlineStr">
        <is>
          <t>80 kg</t>
        </is>
      </c>
      <c r="F3" s="2" t="inlineStr">
        <is>
          <t>100 kg</t>
        </is>
      </c>
      <c r="G3" s="2" t="inlineStr">
        <is>
          <t>120 kg</t>
        </is>
      </c>
      <c r="H3" s="2" t="inlineStr">
        <is>
          <t>Total</t>
        </is>
      </c>
      <c r="I3" s="2" t="inlineStr">
        <is>
          <t>% do total</t>
        </is>
      </c>
      <c r="J3" s="2" t="inlineStr">
        <is>
          <t>Cidades cotadas</t>
        </is>
      </c>
      <c r="K3" s="2" t="inlineStr">
        <is>
          <t>Prazo médio (dias)</t>
        </is>
      </c>
    </row>
    <row r="4">
      <c r="A4" s="3" t="inlineStr">
        <is>
          <t>TRANSIGA FILIAL SP</t>
        </is>
      </c>
      <c r="B4" s="4">
        <f>COUNTIF(B$16:B$41,$A4)</f>
        <v/>
      </c>
      <c r="C4" s="4">
        <f>COUNTIF(C$16:C$41,$A4)</f>
        <v/>
      </c>
      <c r="D4" s="4">
        <f>COUNTIF(D$16:D$41,$A4)</f>
        <v/>
      </c>
      <c r="E4" s="4">
        <f>COUNTIF(E$16:E$41,$A4)</f>
        <v/>
      </c>
      <c r="F4" s="4">
        <f>COUNTIF(F$16:F$41,$A4)</f>
        <v/>
      </c>
      <c r="G4" s="4">
        <f>COUNTIF(G$16:G$41,$A4)</f>
        <v/>
      </c>
      <c r="H4" s="4">
        <f>SUM(B4:G4)</f>
        <v/>
      </c>
      <c r="I4" s="5">
        <f>H4/SUM($H$4:$H$10)</f>
        <v/>
      </c>
      <c r="J4" s="4" t="n">
        <v>26</v>
      </c>
      <c r="K4" s="6" t="n">
        <v>7.3</v>
      </c>
    </row>
    <row r="5">
      <c r="A5" s="7" t="inlineStr">
        <is>
          <t>RAJLOG</t>
        </is>
      </c>
      <c r="B5" s="8">
        <f>COUNTIF(B$16:B$41,$A5)</f>
        <v/>
      </c>
      <c r="C5" s="8">
        <f>COUNTIF(C$16:C$41,$A5)</f>
        <v/>
      </c>
      <c r="D5" s="8">
        <f>COUNTIF(D$16:D$41,$A5)</f>
        <v/>
      </c>
      <c r="E5" s="8">
        <f>COUNTIF(E$16:E$41,$A5)</f>
        <v/>
      </c>
      <c r="F5" s="8">
        <f>COUNTIF(F$16:F$41,$A5)</f>
        <v/>
      </c>
      <c r="G5" s="8">
        <f>COUNTIF(G$16:G$41,$A5)</f>
        <v/>
      </c>
      <c r="H5" s="8">
        <f>SUM(B5:G5)</f>
        <v/>
      </c>
      <c r="I5" s="9">
        <f>H5/SUM($H$4:$H$10)</f>
        <v/>
      </c>
      <c r="J5" s="8" t="n">
        <v>26</v>
      </c>
      <c r="K5" s="10" t="n">
        <v>5</v>
      </c>
    </row>
    <row r="6">
      <c r="A6" s="3" t="inlineStr">
        <is>
          <t>Trans Sua Log - Standard</t>
        </is>
      </c>
      <c r="B6" s="4">
        <f>COUNTIF(B$16:B$41,$A6)</f>
        <v/>
      </c>
      <c r="C6" s="4">
        <f>COUNTIF(C$16:C$41,$A6)</f>
        <v/>
      </c>
      <c r="D6" s="4">
        <f>COUNTIF(D$16:D$41,$A6)</f>
        <v/>
      </c>
      <c r="E6" s="4">
        <f>COUNTIF(E$16:E$41,$A6)</f>
        <v/>
      </c>
      <c r="F6" s="4">
        <f>COUNTIF(F$16:F$41,$A6)</f>
        <v/>
      </c>
      <c r="G6" s="4">
        <f>COUNTIF(G$16:G$41,$A6)</f>
        <v/>
      </c>
      <c r="H6" s="4">
        <f>SUM(B6:G6)</f>
        <v/>
      </c>
      <c r="I6" s="5">
        <f>H6/SUM($H$4:$H$10)</f>
        <v/>
      </c>
      <c r="J6" s="4" t="n">
        <v>26</v>
      </c>
      <c r="K6" s="6" t="n">
        <v>8</v>
      </c>
    </row>
    <row r="7">
      <c r="A7" s="3" t="inlineStr">
        <is>
          <t>Transvanio</t>
        </is>
      </c>
      <c r="B7" s="4">
        <f>COUNTIF(B$16:B$41,$A7)</f>
        <v/>
      </c>
      <c r="C7" s="4">
        <f>COUNTIF(C$16:C$41,$A7)</f>
        <v/>
      </c>
      <c r="D7" s="4">
        <f>COUNTIF(D$16:D$41,$A7)</f>
        <v/>
      </c>
      <c r="E7" s="4">
        <f>COUNTIF(E$16:E$41,$A7)</f>
        <v/>
      </c>
      <c r="F7" s="4">
        <f>COUNTIF(F$16:F$41,$A7)</f>
        <v/>
      </c>
      <c r="G7" s="4">
        <f>COUNTIF(G$16:G$41,$A7)</f>
        <v/>
      </c>
      <c r="H7" s="4">
        <f>SUM(B7:G7)</f>
        <v/>
      </c>
      <c r="I7" s="5">
        <f>H7/SUM($H$4:$H$10)</f>
        <v/>
      </c>
      <c r="J7" s="4" t="n">
        <v>26</v>
      </c>
      <c r="K7" s="6" t="n">
        <v>4.7</v>
      </c>
    </row>
    <row r="8">
      <c r="A8" s="3" t="inlineStr">
        <is>
          <t>VM TRANSPORTES</t>
        </is>
      </c>
      <c r="B8" s="4">
        <f>COUNTIF(B$16:B$41,$A8)</f>
        <v/>
      </c>
      <c r="C8" s="4">
        <f>COUNTIF(C$16:C$41,$A8)</f>
        <v/>
      </c>
      <c r="D8" s="4">
        <f>COUNTIF(D$16:D$41,$A8)</f>
        <v/>
      </c>
      <c r="E8" s="4">
        <f>COUNTIF(E$16:E$41,$A8)</f>
        <v/>
      </c>
      <c r="F8" s="4">
        <f>COUNTIF(F$16:F$41,$A8)</f>
        <v/>
      </c>
      <c r="G8" s="4">
        <f>COUNTIF(G$16:G$41,$A8)</f>
        <v/>
      </c>
      <c r="H8" s="4">
        <f>SUM(B8:G8)</f>
        <v/>
      </c>
      <c r="I8" s="5">
        <f>H8/SUM($H$4:$H$10)</f>
        <v/>
      </c>
      <c r="J8" s="4" t="n">
        <v>15</v>
      </c>
      <c r="K8" s="6" t="n">
        <v>7.7</v>
      </c>
    </row>
    <row r="9">
      <c r="A9" s="3" t="inlineStr">
        <is>
          <t>Zelog Standard</t>
        </is>
      </c>
      <c r="B9" s="4">
        <f>COUNTIF(B$16:B$41,$A9)</f>
        <v/>
      </c>
      <c r="C9" s="4">
        <f>COUNTIF(C$16:C$41,$A9)</f>
        <v/>
      </c>
      <c r="D9" s="4">
        <f>COUNTIF(D$16:D$41,$A9)</f>
        <v/>
      </c>
      <c r="E9" s="4">
        <f>COUNTIF(E$16:E$41,$A9)</f>
        <v/>
      </c>
      <c r="F9" s="4">
        <f>COUNTIF(F$16:F$41,$A9)</f>
        <v/>
      </c>
      <c r="G9" s="4">
        <f>COUNTIF(G$16:G$41,$A9)</f>
        <v/>
      </c>
      <c r="H9" s="4">
        <f>SUM(B9:G9)</f>
        <v/>
      </c>
      <c r="I9" s="5">
        <f>H9/SUM($H$4:$H$10)</f>
        <v/>
      </c>
      <c r="J9" s="4" t="n">
        <v>13</v>
      </c>
      <c r="K9" s="6" t="n">
        <v>4</v>
      </c>
    </row>
    <row r="10">
      <c r="A10" s="3" t="inlineStr">
        <is>
          <t>Trilog Express</t>
        </is>
      </c>
      <c r="B10" s="4">
        <f>COUNTIF(B$16:B$41,$A10)</f>
        <v/>
      </c>
      <c r="C10" s="4">
        <f>COUNTIF(C$16:C$41,$A10)</f>
        <v/>
      </c>
      <c r="D10" s="4">
        <f>COUNTIF(D$16:D$41,$A10)</f>
        <v/>
      </c>
      <c r="E10" s="4">
        <f>COUNTIF(E$16:E$41,$A10)</f>
        <v/>
      </c>
      <c r="F10" s="4">
        <f>COUNTIF(F$16:F$41,$A10)</f>
        <v/>
      </c>
      <c r="G10" s="4">
        <f>COUNTIF(G$16:G$41,$A10)</f>
        <v/>
      </c>
      <c r="H10" s="4">
        <f>SUM(B10:G10)</f>
        <v/>
      </c>
      <c r="I10" s="5">
        <f>H10/SUM($H$4:$H$10)</f>
        <v/>
      </c>
      <c r="J10" s="4" t="n">
        <v>26</v>
      </c>
      <c r="K10" s="6" t="n">
        <v>7</v>
      </c>
    </row>
    <row r="11">
      <c r="A11" s="11" t="inlineStr">
        <is>
          <t>Cidades cotadas e prazo médio: valores fixos extraídos da planilha original.</t>
        </is>
      </c>
    </row>
    <row r="14">
      <c r="A14" s="12" t="inlineStr">
        <is>
          <t>Base: transportadora mais barata por cidade e faixa</t>
        </is>
      </c>
    </row>
    <row r="15">
      <c r="A15" s="13" t="inlineStr">
        <is>
          <t>Cidade</t>
        </is>
      </c>
      <c r="B15" s="13" t="inlineStr">
        <is>
          <t>20 kg</t>
        </is>
      </c>
      <c r="C15" s="13" t="inlineStr">
        <is>
          <t>40 kg</t>
        </is>
      </c>
      <c r="D15" s="13" t="inlineStr">
        <is>
          <t>60 kg</t>
        </is>
      </c>
      <c r="E15" s="13" t="inlineStr">
        <is>
          <t>80 kg</t>
        </is>
      </c>
      <c r="F15" s="13" t="inlineStr">
        <is>
          <t>100 kg</t>
        </is>
      </c>
      <c r="G15" s="13" t="inlineStr">
        <is>
          <t>120 kg</t>
        </is>
      </c>
    </row>
    <row r="16">
      <c r="A16" s="14" t="inlineStr">
        <is>
          <t>Arujá - 07400-165</t>
        </is>
      </c>
      <c r="B16" s="15">
        <f>'Comparativo por Cidade'!B12</f>
        <v/>
      </c>
      <c r="C16" s="15">
        <f>'Comparativo por Cidade'!C12</f>
        <v/>
      </c>
      <c r="D16" s="15">
        <f>'Comparativo por Cidade'!D12</f>
        <v/>
      </c>
      <c r="E16" s="15">
        <f>'Comparativo por Cidade'!E12</f>
        <v/>
      </c>
      <c r="F16" s="15">
        <f>'Comparativo por Cidade'!F12</f>
        <v/>
      </c>
      <c r="G16" s="15">
        <f>'Comparativo por Cidade'!G12</f>
        <v/>
      </c>
    </row>
    <row r="17">
      <c r="A17" s="14" t="inlineStr">
        <is>
          <t>Caieiras - 07714-600</t>
        </is>
      </c>
      <c r="B17" s="15">
        <f>'Comparativo por Cidade'!B26</f>
        <v/>
      </c>
      <c r="C17" s="15">
        <f>'Comparativo por Cidade'!C26</f>
        <v/>
      </c>
      <c r="D17" s="15">
        <f>'Comparativo por Cidade'!D26</f>
        <v/>
      </c>
      <c r="E17" s="15">
        <f>'Comparativo por Cidade'!E26</f>
        <v/>
      </c>
      <c r="F17" s="15">
        <f>'Comparativo por Cidade'!F26</f>
        <v/>
      </c>
      <c r="G17" s="15">
        <f>'Comparativo por Cidade'!G26</f>
        <v/>
      </c>
    </row>
    <row r="18">
      <c r="A18" s="14" t="inlineStr">
        <is>
          <t>Cajamar - 07786-425</t>
        </is>
      </c>
      <c r="B18" s="15">
        <f>'Comparativo por Cidade'!B40</f>
        <v/>
      </c>
      <c r="C18" s="15">
        <f>'Comparativo por Cidade'!C40</f>
        <v/>
      </c>
      <c r="D18" s="15">
        <f>'Comparativo por Cidade'!D40</f>
        <v/>
      </c>
      <c r="E18" s="15">
        <f>'Comparativo por Cidade'!E40</f>
        <v/>
      </c>
      <c r="F18" s="15">
        <f>'Comparativo por Cidade'!F40</f>
        <v/>
      </c>
      <c r="G18" s="15">
        <f>'Comparativo por Cidade'!G40</f>
        <v/>
      </c>
    </row>
    <row r="19">
      <c r="A19" s="14" t="inlineStr">
        <is>
          <t>Carapicuíba - 06395-360</t>
        </is>
      </c>
      <c r="B19" s="15">
        <f>'Comparativo por Cidade'!B56</f>
        <v/>
      </c>
      <c r="C19" s="15">
        <f>'Comparativo por Cidade'!C56</f>
        <v/>
      </c>
      <c r="D19" s="15">
        <f>'Comparativo por Cidade'!D56</f>
        <v/>
      </c>
      <c r="E19" s="15">
        <f>'Comparativo por Cidade'!E56</f>
        <v/>
      </c>
      <c r="F19" s="15">
        <f>'Comparativo por Cidade'!F56</f>
        <v/>
      </c>
      <c r="G19" s="15">
        <f>'Comparativo por Cidade'!G56</f>
        <v/>
      </c>
    </row>
    <row r="20">
      <c r="A20" s="14" t="inlineStr">
        <is>
          <t>Cotia - 06727-185</t>
        </is>
      </c>
      <c r="B20" s="15">
        <f>'Comparativo por Cidade'!B71</f>
        <v/>
      </c>
      <c r="C20" s="15">
        <f>'Comparativo por Cidade'!C71</f>
        <v/>
      </c>
      <c r="D20" s="15">
        <f>'Comparativo por Cidade'!D71</f>
        <v/>
      </c>
      <c r="E20" s="15">
        <f>'Comparativo por Cidade'!E71</f>
        <v/>
      </c>
      <c r="F20" s="15">
        <f>'Comparativo por Cidade'!F71</f>
        <v/>
      </c>
      <c r="G20" s="15">
        <f>'Comparativo por Cidade'!G71</f>
        <v/>
      </c>
    </row>
    <row r="21">
      <c r="A21" s="14" t="inlineStr">
        <is>
          <t>Embu das Artes - 06816-030</t>
        </is>
      </c>
      <c r="B21" s="15">
        <f>'Comparativo por Cidade'!B86</f>
        <v/>
      </c>
      <c r="C21" s="15">
        <f>'Comparativo por Cidade'!C86</f>
        <v/>
      </c>
      <c r="D21" s="15">
        <f>'Comparativo por Cidade'!D86</f>
        <v/>
      </c>
      <c r="E21" s="15">
        <f>'Comparativo por Cidade'!E86</f>
        <v/>
      </c>
      <c r="F21" s="15">
        <f>'Comparativo por Cidade'!F86</f>
        <v/>
      </c>
      <c r="G21" s="15">
        <f>'Comparativo por Cidade'!G86</f>
        <v/>
      </c>
    </row>
    <row r="22">
      <c r="A22" s="14" t="inlineStr">
        <is>
          <t>Ferraz de Vasconcelos - 08545-210</t>
        </is>
      </c>
      <c r="B22" s="15">
        <f>'Comparativo por Cidade'!B102</f>
        <v/>
      </c>
      <c r="C22" s="15">
        <f>'Comparativo por Cidade'!C102</f>
        <v/>
      </c>
      <c r="D22" s="15">
        <f>'Comparativo por Cidade'!D102</f>
        <v/>
      </c>
      <c r="E22" s="15">
        <f>'Comparativo por Cidade'!E102</f>
        <v/>
      </c>
      <c r="F22" s="15">
        <f>'Comparativo por Cidade'!F102</f>
        <v/>
      </c>
      <c r="G22" s="15">
        <f>'Comparativo por Cidade'!G102</f>
        <v/>
      </c>
    </row>
    <row r="23">
      <c r="A23" s="14" t="inlineStr">
        <is>
          <t>Francisco Morato - 07950-260</t>
        </is>
      </c>
      <c r="B23" s="15">
        <f>'Comparativo por Cidade'!B116</f>
        <v/>
      </c>
      <c r="C23" s="15">
        <f>'Comparativo por Cidade'!C116</f>
        <v/>
      </c>
      <c r="D23" s="15">
        <f>'Comparativo por Cidade'!D116</f>
        <v/>
      </c>
      <c r="E23" s="15">
        <f>'Comparativo por Cidade'!E116</f>
        <v/>
      </c>
      <c r="F23" s="15">
        <f>'Comparativo por Cidade'!F116</f>
        <v/>
      </c>
      <c r="G23" s="15">
        <f>'Comparativo por Cidade'!G116</f>
        <v/>
      </c>
    </row>
    <row r="24">
      <c r="A24" s="14" t="inlineStr">
        <is>
          <t>Franco da Rocha - 07851-060</t>
        </is>
      </c>
      <c r="B24" s="15">
        <f>'Comparativo por Cidade'!B130</f>
        <v/>
      </c>
      <c r="C24" s="15">
        <f>'Comparativo por Cidade'!C130</f>
        <v/>
      </c>
      <c r="D24" s="15">
        <f>'Comparativo por Cidade'!D130</f>
        <v/>
      </c>
      <c r="E24" s="15">
        <f>'Comparativo por Cidade'!E130</f>
        <v/>
      </c>
      <c r="F24" s="15">
        <f>'Comparativo por Cidade'!F130</f>
        <v/>
      </c>
      <c r="G24" s="15">
        <f>'Comparativo por Cidade'!G130</f>
        <v/>
      </c>
    </row>
    <row r="25">
      <c r="A25" s="14" t="inlineStr">
        <is>
          <t>Itaquaquecetuba - 08594-270</t>
        </is>
      </c>
      <c r="B25" s="15">
        <f>'Comparativo por Cidade'!B146</f>
        <v/>
      </c>
      <c r="C25" s="15">
        <f>'Comparativo por Cidade'!C146</f>
        <v/>
      </c>
      <c r="D25" s="15">
        <f>'Comparativo por Cidade'!D146</f>
        <v/>
      </c>
      <c r="E25" s="15">
        <f>'Comparativo por Cidade'!E146</f>
        <v/>
      </c>
      <c r="F25" s="15">
        <f>'Comparativo por Cidade'!F146</f>
        <v/>
      </c>
      <c r="G25" s="15">
        <f>'Comparativo por Cidade'!G146</f>
        <v/>
      </c>
    </row>
    <row r="26">
      <c r="A26" s="14" t="inlineStr">
        <is>
          <t>Jandira - 06624-090</t>
        </is>
      </c>
      <c r="B26" s="15">
        <f>'Comparativo por Cidade'!B161</f>
        <v/>
      </c>
      <c r="C26" s="15">
        <f>'Comparativo por Cidade'!C161</f>
        <v/>
      </c>
      <c r="D26" s="15">
        <f>'Comparativo por Cidade'!D161</f>
        <v/>
      </c>
      <c r="E26" s="15">
        <f>'Comparativo por Cidade'!E161</f>
        <v/>
      </c>
      <c r="F26" s="15">
        <f>'Comparativo por Cidade'!F161</f>
        <v/>
      </c>
      <c r="G26" s="15">
        <f>'Comparativo por Cidade'!G161</f>
        <v/>
      </c>
    </row>
    <row r="27">
      <c r="A27" s="14" t="inlineStr">
        <is>
          <t>Mairiporã - 07629-694</t>
        </is>
      </c>
      <c r="B27" s="15">
        <f>'Comparativo por Cidade'!B175</f>
        <v/>
      </c>
      <c r="C27" s="15">
        <f>'Comparativo por Cidade'!C175</f>
        <v/>
      </c>
      <c r="D27" s="15">
        <f>'Comparativo por Cidade'!D175</f>
        <v/>
      </c>
      <c r="E27" s="15">
        <f>'Comparativo por Cidade'!E175</f>
        <v/>
      </c>
      <c r="F27" s="15">
        <f>'Comparativo por Cidade'!F175</f>
        <v/>
      </c>
      <c r="G27" s="15">
        <f>'Comparativo por Cidade'!G175</f>
        <v/>
      </c>
    </row>
    <row r="28">
      <c r="A28" s="14" t="inlineStr">
        <is>
          <t>Mauá - 09390-650</t>
        </is>
      </c>
      <c r="B28" s="15">
        <f>'Comparativo por Cidade'!B190</f>
        <v/>
      </c>
      <c r="C28" s="15">
        <f>'Comparativo por Cidade'!C190</f>
        <v/>
      </c>
      <c r="D28" s="15">
        <f>'Comparativo por Cidade'!D190</f>
        <v/>
      </c>
      <c r="E28" s="15">
        <f>'Comparativo por Cidade'!E190</f>
        <v/>
      </c>
      <c r="F28" s="15">
        <f>'Comparativo por Cidade'!F190</f>
        <v/>
      </c>
      <c r="G28" s="15">
        <f>'Comparativo por Cidade'!G190</f>
        <v/>
      </c>
    </row>
    <row r="29">
      <c r="A29" s="14" t="inlineStr">
        <is>
          <t>Mogi das Cruzes - 08750-760</t>
        </is>
      </c>
      <c r="B29" s="15">
        <f>'Comparativo por Cidade'!B206</f>
        <v/>
      </c>
      <c r="C29" s="15">
        <f>'Comparativo por Cidade'!C206</f>
        <v/>
      </c>
      <c r="D29" s="15">
        <f>'Comparativo por Cidade'!D206</f>
        <v/>
      </c>
      <c r="E29" s="15">
        <f>'Comparativo por Cidade'!E206</f>
        <v/>
      </c>
      <c r="F29" s="15">
        <f>'Comparativo por Cidade'!F206</f>
        <v/>
      </c>
      <c r="G29" s="15">
        <f>'Comparativo por Cidade'!G206</f>
        <v/>
      </c>
    </row>
    <row r="30">
      <c r="A30" s="14" t="inlineStr">
        <is>
          <t>Poá - 08553-240</t>
        </is>
      </c>
      <c r="B30" s="15">
        <f>'Comparativo por Cidade'!B222</f>
        <v/>
      </c>
      <c r="C30" s="15">
        <f>'Comparativo por Cidade'!C222</f>
        <v/>
      </c>
      <c r="D30" s="15">
        <f>'Comparativo por Cidade'!D222</f>
        <v/>
      </c>
      <c r="E30" s="15">
        <f>'Comparativo por Cidade'!E222</f>
        <v/>
      </c>
      <c r="F30" s="15">
        <f>'Comparativo por Cidade'!F222</f>
        <v/>
      </c>
      <c r="G30" s="15">
        <f>'Comparativo por Cidade'!G222</f>
        <v/>
      </c>
    </row>
    <row r="31">
      <c r="A31" s="14" t="inlineStr">
        <is>
          <t>Suzano - 08616-260</t>
        </is>
      </c>
      <c r="B31" s="15">
        <f>'Comparativo por Cidade'!B238</f>
        <v/>
      </c>
      <c r="C31" s="15">
        <f>'Comparativo por Cidade'!C238</f>
        <v/>
      </c>
      <c r="D31" s="15">
        <f>'Comparativo por Cidade'!D238</f>
        <v/>
      </c>
      <c r="E31" s="15">
        <f>'Comparativo por Cidade'!E238</f>
        <v/>
      </c>
      <c r="F31" s="15">
        <f>'Comparativo por Cidade'!F238</f>
        <v/>
      </c>
      <c r="G31" s="15">
        <f>'Comparativo por Cidade'!G238</f>
        <v/>
      </c>
    </row>
    <row r="32">
      <c r="A32" s="14" t="inlineStr">
        <is>
          <t>Barueri - 06449-080</t>
        </is>
      </c>
      <c r="B32" s="15">
        <f>'Comparativo por Cidade'!B254</f>
        <v/>
      </c>
      <c r="C32" s="15">
        <f>'Comparativo por Cidade'!C254</f>
        <v/>
      </c>
      <c r="D32" s="15">
        <f>'Comparativo por Cidade'!D254</f>
        <v/>
      </c>
      <c r="E32" s="15">
        <f>'Comparativo por Cidade'!E254</f>
        <v/>
      </c>
      <c r="F32" s="15">
        <f>'Comparativo por Cidade'!F254</f>
        <v/>
      </c>
      <c r="G32" s="15">
        <f>'Comparativo por Cidade'!G254</f>
        <v/>
      </c>
    </row>
    <row r="33">
      <c r="A33" s="14" t="inlineStr">
        <is>
          <t>Diadema - 09960-750</t>
        </is>
      </c>
      <c r="B33" s="15">
        <f>'Comparativo por Cidade'!B269</f>
        <v/>
      </c>
      <c r="C33" s="15">
        <f>'Comparativo por Cidade'!C269</f>
        <v/>
      </c>
      <c r="D33" s="15">
        <f>'Comparativo por Cidade'!D269</f>
        <v/>
      </c>
      <c r="E33" s="15">
        <f>'Comparativo por Cidade'!E269</f>
        <v/>
      </c>
      <c r="F33" s="15">
        <f>'Comparativo por Cidade'!F269</f>
        <v/>
      </c>
      <c r="G33" s="15">
        <f>'Comparativo por Cidade'!G269</f>
        <v/>
      </c>
    </row>
    <row r="34">
      <c r="A34" s="14" t="inlineStr">
        <is>
          <t>Guarulhos - 07240-230</t>
        </is>
      </c>
      <c r="B34" s="15">
        <f>'Comparativo por Cidade'!B284</f>
        <v/>
      </c>
      <c r="C34" s="15">
        <f>'Comparativo por Cidade'!C284</f>
        <v/>
      </c>
      <c r="D34" s="15">
        <f>'Comparativo por Cidade'!D284</f>
        <v/>
      </c>
      <c r="E34" s="15">
        <f>'Comparativo por Cidade'!E284</f>
        <v/>
      </c>
      <c r="F34" s="15">
        <f>'Comparativo por Cidade'!F284</f>
        <v/>
      </c>
      <c r="G34" s="15">
        <f>'Comparativo por Cidade'!G284</f>
        <v/>
      </c>
    </row>
    <row r="35">
      <c r="A35" s="14" t="inlineStr">
        <is>
          <t>Osasco - 06140-000</t>
        </is>
      </c>
      <c r="B35" s="15">
        <f>'Comparativo por Cidade'!B300</f>
        <v/>
      </c>
      <c r="C35" s="15">
        <f>'Comparativo por Cidade'!C300</f>
        <v/>
      </c>
      <c r="D35" s="15">
        <f>'Comparativo por Cidade'!D300</f>
        <v/>
      </c>
      <c r="E35" s="15">
        <f>'Comparativo por Cidade'!E300</f>
        <v/>
      </c>
      <c r="F35" s="15">
        <f>'Comparativo por Cidade'!F300</f>
        <v/>
      </c>
      <c r="G35" s="15">
        <f>'Comparativo por Cidade'!G300</f>
        <v/>
      </c>
    </row>
    <row r="36">
      <c r="A36" s="14" t="inlineStr">
        <is>
          <t>Santana de Parnaíba - 06528-305</t>
        </is>
      </c>
      <c r="B36" s="15">
        <f>'Comparativo por Cidade'!B315</f>
        <v/>
      </c>
      <c r="C36" s="15">
        <f>'Comparativo por Cidade'!C315</f>
        <v/>
      </c>
      <c r="D36" s="15">
        <f>'Comparativo por Cidade'!D315</f>
        <v/>
      </c>
      <c r="E36" s="15">
        <f>'Comparativo por Cidade'!E315</f>
        <v/>
      </c>
      <c r="F36" s="15">
        <f>'Comparativo por Cidade'!F315</f>
        <v/>
      </c>
      <c r="G36" s="15">
        <f>'Comparativo por Cidade'!G315</f>
        <v/>
      </c>
    </row>
    <row r="37">
      <c r="A37" s="14" t="inlineStr">
        <is>
          <t>Santo André - 09070-010</t>
        </is>
      </c>
      <c r="B37" s="15">
        <f>'Comparativo por Cidade'!B330</f>
        <v/>
      </c>
      <c r="C37" s="15">
        <f>'Comparativo por Cidade'!C330</f>
        <v/>
      </c>
      <c r="D37" s="15">
        <f>'Comparativo por Cidade'!D330</f>
        <v/>
      </c>
      <c r="E37" s="15">
        <f>'Comparativo por Cidade'!E330</f>
        <v/>
      </c>
      <c r="F37" s="15">
        <f>'Comparativo por Cidade'!F330</f>
        <v/>
      </c>
      <c r="G37" s="15">
        <f>'Comparativo por Cidade'!G330</f>
        <v/>
      </c>
    </row>
    <row r="38">
      <c r="A38" s="14" t="inlineStr">
        <is>
          <t>São Bernardo do Campo - 09840-628</t>
        </is>
      </c>
      <c r="B38" s="15">
        <f>'Comparativo por Cidade'!B345</f>
        <v/>
      </c>
      <c r="C38" s="15">
        <f>'Comparativo por Cidade'!C345</f>
        <v/>
      </c>
      <c r="D38" s="15">
        <f>'Comparativo por Cidade'!D345</f>
        <v/>
      </c>
      <c r="E38" s="15">
        <f>'Comparativo por Cidade'!E345</f>
        <v/>
      </c>
      <c r="F38" s="15">
        <f>'Comparativo por Cidade'!F345</f>
        <v/>
      </c>
      <c r="G38" s="15">
        <f>'Comparativo por Cidade'!G345</f>
        <v/>
      </c>
    </row>
    <row r="39">
      <c r="A39" s="14" t="inlineStr">
        <is>
          <t>São Caetano do Sul - 09521-010</t>
        </is>
      </c>
      <c r="B39" s="15">
        <f>'Comparativo por Cidade'!B360</f>
        <v/>
      </c>
      <c r="C39" s="15">
        <f>'Comparativo por Cidade'!C360</f>
        <v/>
      </c>
      <c r="D39" s="15">
        <f>'Comparativo por Cidade'!D360</f>
        <v/>
      </c>
      <c r="E39" s="15">
        <f>'Comparativo por Cidade'!E360</f>
        <v/>
      </c>
      <c r="F39" s="15">
        <f>'Comparativo por Cidade'!F360</f>
        <v/>
      </c>
      <c r="G39" s="15">
        <f>'Comparativo por Cidade'!G360</f>
        <v/>
      </c>
    </row>
    <row r="40">
      <c r="A40" s="14" t="inlineStr">
        <is>
          <t>Taboão da Serra - 06765-904</t>
        </is>
      </c>
      <c r="B40" s="15">
        <f>'Comparativo por Cidade'!B375</f>
        <v/>
      </c>
      <c r="C40" s="15">
        <f>'Comparativo por Cidade'!C375</f>
        <v/>
      </c>
      <c r="D40" s="15">
        <f>'Comparativo por Cidade'!D375</f>
        <v/>
      </c>
      <c r="E40" s="15">
        <f>'Comparativo por Cidade'!E375</f>
        <v/>
      </c>
      <c r="F40" s="15">
        <f>'Comparativo por Cidade'!F375</f>
        <v/>
      </c>
      <c r="G40" s="15">
        <f>'Comparativo por Cidade'!G375</f>
        <v/>
      </c>
    </row>
    <row r="41">
      <c r="A41" s="14" t="inlineStr">
        <is>
          <t>São Paulo - 02820-030</t>
        </is>
      </c>
      <c r="B41" s="15">
        <f>'Comparativo por Cidade'!B390</f>
        <v/>
      </c>
      <c r="C41" s="15">
        <f>'Comparativo por Cidade'!C390</f>
        <v/>
      </c>
      <c r="D41" s="15">
        <f>'Comparativo por Cidade'!D390</f>
        <v/>
      </c>
      <c r="E41" s="15">
        <f>'Comparativo por Cidade'!E390</f>
        <v/>
      </c>
      <c r="F41" s="15">
        <f>'Comparativo por Cidade'!F390</f>
        <v/>
      </c>
      <c r="G41" s="15">
        <f>'Comparativo por Cidade'!G390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RAJLOG x concorrente mais barato (entre as 7 selecionadas) – negativo = RAJLOG mais barata</t>
        </is>
      </c>
    </row>
    <row r="2">
      <c r="A2" s="16" t="inlineStr">
        <is>
          <t>Todas as células buscam os valores da aba "Comparativo por Cidade"</t>
        </is>
      </c>
    </row>
    <row r="4">
      <c r="A4" s="2" t="inlineStr">
        <is>
          <t>Cidade</t>
        </is>
      </c>
      <c r="B4" s="2" t="inlineStr">
        <is>
          <t>20 kg</t>
        </is>
      </c>
      <c r="C4" s="2" t="inlineStr">
        <is>
          <t>40 kg</t>
        </is>
      </c>
      <c r="D4" s="2" t="inlineStr">
        <is>
          <t>60 kg</t>
        </is>
      </c>
      <c r="E4" s="2" t="inlineStr">
        <is>
          <t>80 kg</t>
        </is>
      </c>
      <c r="F4" s="2" t="inlineStr">
        <is>
          <t>100 kg</t>
        </is>
      </c>
      <c r="G4" s="2" t="inlineStr">
        <is>
          <t>120 kg</t>
        </is>
      </c>
      <c r="H4" s="2" t="inlineStr">
        <is>
          <t>Média</t>
        </is>
      </c>
      <c r="I4" s="2" t="inlineStr">
        <is>
          <t>Nº transp. cotando</t>
        </is>
      </c>
    </row>
    <row r="5">
      <c r="A5" s="14" t="inlineStr">
        <is>
          <t>Arujá - 07400-165</t>
        </is>
      </c>
      <c r="B5" s="17">
        <f>'Comparativo por Cidade'!B14</f>
        <v/>
      </c>
      <c r="C5" s="17">
        <f>'Comparativo por Cidade'!C14</f>
        <v/>
      </c>
      <c r="D5" s="17">
        <f>'Comparativo por Cidade'!D14</f>
        <v/>
      </c>
      <c r="E5" s="17">
        <f>'Comparativo por Cidade'!E14</f>
        <v/>
      </c>
      <c r="F5" s="17">
        <f>'Comparativo por Cidade'!F14</f>
        <v/>
      </c>
      <c r="G5" s="17">
        <f>'Comparativo por Cidade'!G14</f>
        <v/>
      </c>
      <c r="H5" s="18">
        <f>AVERAGE(B5:G5)</f>
        <v/>
      </c>
      <c r="I5" s="14">
        <f>COUNT('Comparativo por Cidade'!B6:B10)</f>
        <v/>
      </c>
    </row>
    <row r="6">
      <c r="A6" s="14" t="inlineStr">
        <is>
          <t>Caieiras - 07714-600</t>
        </is>
      </c>
      <c r="B6" s="17">
        <f>'Comparativo por Cidade'!B28</f>
        <v/>
      </c>
      <c r="C6" s="17">
        <f>'Comparativo por Cidade'!C28</f>
        <v/>
      </c>
      <c r="D6" s="17">
        <f>'Comparativo por Cidade'!D28</f>
        <v/>
      </c>
      <c r="E6" s="17">
        <f>'Comparativo por Cidade'!E28</f>
        <v/>
      </c>
      <c r="F6" s="17">
        <f>'Comparativo por Cidade'!F28</f>
        <v/>
      </c>
      <c r="G6" s="17">
        <f>'Comparativo por Cidade'!G28</f>
        <v/>
      </c>
      <c r="H6" s="18">
        <f>AVERAGE(B6:G6)</f>
        <v/>
      </c>
      <c r="I6" s="14">
        <f>COUNT('Comparativo por Cidade'!B20:B24)</f>
        <v/>
      </c>
    </row>
    <row r="7">
      <c r="A7" s="14" t="inlineStr">
        <is>
          <t>Cajamar - 07786-425</t>
        </is>
      </c>
      <c r="B7" s="17">
        <f>'Comparativo por Cidade'!B42</f>
        <v/>
      </c>
      <c r="C7" s="17">
        <f>'Comparativo por Cidade'!C42</f>
        <v/>
      </c>
      <c r="D7" s="17">
        <f>'Comparativo por Cidade'!D42</f>
        <v/>
      </c>
      <c r="E7" s="17">
        <f>'Comparativo por Cidade'!E42</f>
        <v/>
      </c>
      <c r="F7" s="17">
        <f>'Comparativo por Cidade'!F42</f>
        <v/>
      </c>
      <c r="G7" s="17">
        <f>'Comparativo por Cidade'!G42</f>
        <v/>
      </c>
      <c r="H7" s="18">
        <f>AVERAGE(B7:G7)</f>
        <v/>
      </c>
      <c r="I7" s="14">
        <f>COUNT('Comparativo por Cidade'!B34:B38)</f>
        <v/>
      </c>
    </row>
    <row r="8">
      <c r="A8" s="14" t="inlineStr">
        <is>
          <t>Carapicuíba - 06395-360</t>
        </is>
      </c>
      <c r="B8" s="17">
        <f>'Comparativo por Cidade'!B58</f>
        <v/>
      </c>
      <c r="C8" s="17">
        <f>'Comparativo por Cidade'!C58</f>
        <v/>
      </c>
      <c r="D8" s="17">
        <f>'Comparativo por Cidade'!D58</f>
        <v/>
      </c>
      <c r="E8" s="17">
        <f>'Comparativo por Cidade'!E58</f>
        <v/>
      </c>
      <c r="F8" s="17">
        <f>'Comparativo por Cidade'!F58</f>
        <v/>
      </c>
      <c r="G8" s="17">
        <f>'Comparativo por Cidade'!G58</f>
        <v/>
      </c>
      <c r="H8" s="18">
        <f>AVERAGE(B8:G8)</f>
        <v/>
      </c>
      <c r="I8" s="14">
        <f>COUNT('Comparativo por Cidade'!B48:B54)</f>
        <v/>
      </c>
    </row>
    <row r="9">
      <c r="A9" s="14" t="inlineStr">
        <is>
          <t>Cotia - 06727-185</t>
        </is>
      </c>
      <c r="B9" s="17">
        <f>'Comparativo por Cidade'!B73</f>
        <v/>
      </c>
      <c r="C9" s="17">
        <f>'Comparativo por Cidade'!C73</f>
        <v/>
      </c>
      <c r="D9" s="17">
        <f>'Comparativo por Cidade'!D73</f>
        <v/>
      </c>
      <c r="E9" s="17">
        <f>'Comparativo por Cidade'!E73</f>
        <v/>
      </c>
      <c r="F9" s="17">
        <f>'Comparativo por Cidade'!F73</f>
        <v/>
      </c>
      <c r="G9" s="17">
        <f>'Comparativo por Cidade'!G73</f>
        <v/>
      </c>
      <c r="H9" s="18">
        <f>AVERAGE(B9:G9)</f>
        <v/>
      </c>
      <c r="I9" s="14">
        <f>COUNT('Comparativo por Cidade'!B64:B69)</f>
        <v/>
      </c>
    </row>
    <row r="10">
      <c r="A10" s="14" t="inlineStr">
        <is>
          <t>Embu das Artes - 06816-030</t>
        </is>
      </c>
      <c r="B10" s="17">
        <f>'Comparativo por Cidade'!B88</f>
        <v/>
      </c>
      <c r="C10" s="17">
        <f>'Comparativo por Cidade'!C88</f>
        <v/>
      </c>
      <c r="D10" s="17">
        <f>'Comparativo por Cidade'!D88</f>
        <v/>
      </c>
      <c r="E10" s="17">
        <f>'Comparativo por Cidade'!E88</f>
        <v/>
      </c>
      <c r="F10" s="17">
        <f>'Comparativo por Cidade'!F88</f>
        <v/>
      </c>
      <c r="G10" s="17">
        <f>'Comparativo por Cidade'!G88</f>
        <v/>
      </c>
      <c r="H10" s="18">
        <f>AVERAGE(B10:G10)</f>
        <v/>
      </c>
      <c r="I10" s="14">
        <f>COUNT('Comparativo por Cidade'!B79:B84)</f>
        <v/>
      </c>
    </row>
    <row r="11">
      <c r="A11" s="14" t="inlineStr">
        <is>
          <t>Ferraz de Vasconcelos - 08545-210</t>
        </is>
      </c>
      <c r="B11" s="17">
        <f>'Comparativo por Cidade'!B104</f>
        <v/>
      </c>
      <c r="C11" s="17">
        <f>'Comparativo por Cidade'!C104</f>
        <v/>
      </c>
      <c r="D11" s="17">
        <f>'Comparativo por Cidade'!D104</f>
        <v/>
      </c>
      <c r="E11" s="17">
        <f>'Comparativo por Cidade'!E104</f>
        <v/>
      </c>
      <c r="F11" s="17">
        <f>'Comparativo por Cidade'!F104</f>
        <v/>
      </c>
      <c r="G11" s="17">
        <f>'Comparativo por Cidade'!G104</f>
        <v/>
      </c>
      <c r="H11" s="18">
        <f>AVERAGE(B11:G11)</f>
        <v/>
      </c>
      <c r="I11" s="14">
        <f>COUNT('Comparativo por Cidade'!B94:B100)</f>
        <v/>
      </c>
    </row>
    <row r="12">
      <c r="A12" s="14" t="inlineStr">
        <is>
          <t>Francisco Morato - 07950-260</t>
        </is>
      </c>
      <c r="B12" s="17">
        <f>'Comparativo por Cidade'!B118</f>
        <v/>
      </c>
      <c r="C12" s="17">
        <f>'Comparativo por Cidade'!C118</f>
        <v/>
      </c>
      <c r="D12" s="17">
        <f>'Comparativo por Cidade'!D118</f>
        <v/>
      </c>
      <c r="E12" s="17">
        <f>'Comparativo por Cidade'!E118</f>
        <v/>
      </c>
      <c r="F12" s="17">
        <f>'Comparativo por Cidade'!F118</f>
        <v/>
      </c>
      <c r="G12" s="17">
        <f>'Comparativo por Cidade'!G118</f>
        <v/>
      </c>
      <c r="H12" s="18">
        <f>AVERAGE(B12:G12)</f>
        <v/>
      </c>
      <c r="I12" s="14">
        <f>COUNT('Comparativo por Cidade'!B110:B114)</f>
        <v/>
      </c>
    </row>
    <row r="13">
      <c r="A13" s="14" t="inlineStr">
        <is>
          <t>Franco da Rocha - 07851-060</t>
        </is>
      </c>
      <c r="B13" s="17">
        <f>'Comparativo por Cidade'!B132</f>
        <v/>
      </c>
      <c r="C13" s="17">
        <f>'Comparativo por Cidade'!C132</f>
        <v/>
      </c>
      <c r="D13" s="17">
        <f>'Comparativo por Cidade'!D132</f>
        <v/>
      </c>
      <c r="E13" s="17">
        <f>'Comparativo por Cidade'!E132</f>
        <v/>
      </c>
      <c r="F13" s="17">
        <f>'Comparativo por Cidade'!F132</f>
        <v/>
      </c>
      <c r="G13" s="17">
        <f>'Comparativo por Cidade'!G132</f>
        <v/>
      </c>
      <c r="H13" s="18">
        <f>AVERAGE(B13:G13)</f>
        <v/>
      </c>
      <c r="I13" s="14">
        <f>COUNT('Comparativo por Cidade'!B124:B128)</f>
        <v/>
      </c>
    </row>
    <row r="14">
      <c r="A14" s="14" t="inlineStr">
        <is>
          <t>Itaquaquecetuba - 08594-270</t>
        </is>
      </c>
      <c r="B14" s="17">
        <f>'Comparativo por Cidade'!B148</f>
        <v/>
      </c>
      <c r="C14" s="17">
        <f>'Comparativo por Cidade'!C148</f>
        <v/>
      </c>
      <c r="D14" s="17">
        <f>'Comparativo por Cidade'!D148</f>
        <v/>
      </c>
      <c r="E14" s="17">
        <f>'Comparativo por Cidade'!E148</f>
        <v/>
      </c>
      <c r="F14" s="17">
        <f>'Comparativo por Cidade'!F148</f>
        <v/>
      </c>
      <c r="G14" s="17">
        <f>'Comparativo por Cidade'!G148</f>
        <v/>
      </c>
      <c r="H14" s="18">
        <f>AVERAGE(B14:G14)</f>
        <v/>
      </c>
      <c r="I14" s="14">
        <f>COUNT('Comparativo por Cidade'!B138:B144)</f>
        <v/>
      </c>
    </row>
    <row r="15">
      <c r="A15" s="14" t="inlineStr">
        <is>
          <t>Jandira - 06624-090</t>
        </is>
      </c>
      <c r="B15" s="17">
        <f>'Comparativo por Cidade'!B163</f>
        <v/>
      </c>
      <c r="C15" s="17">
        <f>'Comparativo por Cidade'!C163</f>
        <v/>
      </c>
      <c r="D15" s="17">
        <f>'Comparativo por Cidade'!D163</f>
        <v/>
      </c>
      <c r="E15" s="17">
        <f>'Comparativo por Cidade'!E163</f>
        <v/>
      </c>
      <c r="F15" s="17">
        <f>'Comparativo por Cidade'!F163</f>
        <v/>
      </c>
      <c r="G15" s="17">
        <f>'Comparativo por Cidade'!G163</f>
        <v/>
      </c>
      <c r="H15" s="18">
        <f>AVERAGE(B15:G15)</f>
        <v/>
      </c>
      <c r="I15" s="14">
        <f>COUNT('Comparativo por Cidade'!B154:B159)</f>
        <v/>
      </c>
    </row>
    <row r="16">
      <c r="A16" s="14" t="inlineStr">
        <is>
          <t>Mairiporã - 07629-694</t>
        </is>
      </c>
      <c r="B16" s="17">
        <f>'Comparativo por Cidade'!B177</f>
        <v/>
      </c>
      <c r="C16" s="17">
        <f>'Comparativo por Cidade'!C177</f>
        <v/>
      </c>
      <c r="D16" s="17">
        <f>'Comparativo por Cidade'!D177</f>
        <v/>
      </c>
      <c r="E16" s="17">
        <f>'Comparativo por Cidade'!E177</f>
        <v/>
      </c>
      <c r="F16" s="17">
        <f>'Comparativo por Cidade'!F177</f>
        <v/>
      </c>
      <c r="G16" s="17">
        <f>'Comparativo por Cidade'!G177</f>
        <v/>
      </c>
      <c r="H16" s="18">
        <f>AVERAGE(B16:G16)</f>
        <v/>
      </c>
      <c r="I16" s="14">
        <f>COUNT('Comparativo por Cidade'!B169:B173)</f>
        <v/>
      </c>
    </row>
    <row r="17">
      <c r="A17" s="14" t="inlineStr">
        <is>
          <t>Mauá - 09390-650</t>
        </is>
      </c>
      <c r="B17" s="17">
        <f>'Comparativo por Cidade'!B192</f>
        <v/>
      </c>
      <c r="C17" s="17">
        <f>'Comparativo por Cidade'!C192</f>
        <v/>
      </c>
      <c r="D17" s="17">
        <f>'Comparativo por Cidade'!D192</f>
        <v/>
      </c>
      <c r="E17" s="17">
        <f>'Comparativo por Cidade'!E192</f>
        <v/>
      </c>
      <c r="F17" s="17">
        <f>'Comparativo por Cidade'!F192</f>
        <v/>
      </c>
      <c r="G17" s="17">
        <f>'Comparativo por Cidade'!G192</f>
        <v/>
      </c>
      <c r="H17" s="18">
        <f>AVERAGE(B17:G17)</f>
        <v/>
      </c>
      <c r="I17" s="14">
        <f>COUNT('Comparativo por Cidade'!B183:B188)</f>
        <v/>
      </c>
    </row>
    <row r="18">
      <c r="A18" s="14" t="inlineStr">
        <is>
          <t>Mogi das Cruzes - 08750-760</t>
        </is>
      </c>
      <c r="B18" s="17">
        <f>'Comparativo por Cidade'!B208</f>
        <v/>
      </c>
      <c r="C18" s="17">
        <f>'Comparativo por Cidade'!C208</f>
        <v/>
      </c>
      <c r="D18" s="17">
        <f>'Comparativo por Cidade'!D208</f>
        <v/>
      </c>
      <c r="E18" s="17">
        <f>'Comparativo por Cidade'!E208</f>
        <v/>
      </c>
      <c r="F18" s="17">
        <f>'Comparativo por Cidade'!F208</f>
        <v/>
      </c>
      <c r="G18" s="17">
        <f>'Comparativo por Cidade'!G208</f>
        <v/>
      </c>
      <c r="H18" s="18">
        <f>AVERAGE(B18:G18)</f>
        <v/>
      </c>
      <c r="I18" s="14">
        <f>COUNT('Comparativo por Cidade'!B198:B204)</f>
        <v/>
      </c>
    </row>
    <row r="19">
      <c r="A19" s="14" t="inlineStr">
        <is>
          <t>Poá - 08553-240</t>
        </is>
      </c>
      <c r="B19" s="17">
        <f>'Comparativo por Cidade'!B224</f>
        <v/>
      </c>
      <c r="C19" s="17">
        <f>'Comparativo por Cidade'!C224</f>
        <v/>
      </c>
      <c r="D19" s="17">
        <f>'Comparativo por Cidade'!D224</f>
        <v/>
      </c>
      <c r="E19" s="17">
        <f>'Comparativo por Cidade'!E224</f>
        <v/>
      </c>
      <c r="F19" s="17">
        <f>'Comparativo por Cidade'!F224</f>
        <v/>
      </c>
      <c r="G19" s="17">
        <f>'Comparativo por Cidade'!G224</f>
        <v/>
      </c>
      <c r="H19" s="18">
        <f>AVERAGE(B19:G19)</f>
        <v/>
      </c>
      <c r="I19" s="14">
        <f>COUNT('Comparativo por Cidade'!B214:B220)</f>
        <v/>
      </c>
    </row>
    <row r="20">
      <c r="A20" s="14" t="inlineStr">
        <is>
          <t>Suzano - 08616-260</t>
        </is>
      </c>
      <c r="B20" s="17">
        <f>'Comparativo por Cidade'!B240</f>
        <v/>
      </c>
      <c r="C20" s="17">
        <f>'Comparativo por Cidade'!C240</f>
        <v/>
      </c>
      <c r="D20" s="17">
        <f>'Comparativo por Cidade'!D240</f>
        <v/>
      </c>
      <c r="E20" s="17">
        <f>'Comparativo por Cidade'!E240</f>
        <v/>
      </c>
      <c r="F20" s="17">
        <f>'Comparativo por Cidade'!F240</f>
        <v/>
      </c>
      <c r="G20" s="17">
        <f>'Comparativo por Cidade'!G240</f>
        <v/>
      </c>
      <c r="H20" s="18">
        <f>AVERAGE(B20:G20)</f>
        <v/>
      </c>
      <c r="I20" s="14">
        <f>COUNT('Comparativo por Cidade'!B230:B236)</f>
        <v/>
      </c>
    </row>
    <row r="21">
      <c r="A21" s="14" t="inlineStr">
        <is>
          <t>Barueri - 06449-080</t>
        </is>
      </c>
      <c r="B21" s="17">
        <f>'Comparativo por Cidade'!B256</f>
        <v/>
      </c>
      <c r="C21" s="17">
        <f>'Comparativo por Cidade'!C256</f>
        <v/>
      </c>
      <c r="D21" s="17">
        <f>'Comparativo por Cidade'!D256</f>
        <v/>
      </c>
      <c r="E21" s="17">
        <f>'Comparativo por Cidade'!E256</f>
        <v/>
      </c>
      <c r="F21" s="17">
        <f>'Comparativo por Cidade'!F256</f>
        <v/>
      </c>
      <c r="G21" s="17">
        <f>'Comparativo por Cidade'!G256</f>
        <v/>
      </c>
      <c r="H21" s="18">
        <f>AVERAGE(B21:G21)</f>
        <v/>
      </c>
      <c r="I21" s="14">
        <f>COUNT('Comparativo por Cidade'!B246:B252)</f>
        <v/>
      </c>
    </row>
    <row r="22">
      <c r="A22" s="14" t="inlineStr">
        <is>
          <t>Diadema - 09960-750</t>
        </is>
      </c>
      <c r="B22" s="17">
        <f>'Comparativo por Cidade'!B271</f>
        <v/>
      </c>
      <c r="C22" s="17">
        <f>'Comparativo por Cidade'!C271</f>
        <v/>
      </c>
      <c r="D22" s="17">
        <f>'Comparativo por Cidade'!D271</f>
        <v/>
      </c>
      <c r="E22" s="17">
        <f>'Comparativo por Cidade'!E271</f>
        <v/>
      </c>
      <c r="F22" s="17">
        <f>'Comparativo por Cidade'!F271</f>
        <v/>
      </c>
      <c r="G22" s="17">
        <f>'Comparativo por Cidade'!G271</f>
        <v/>
      </c>
      <c r="H22" s="18">
        <f>AVERAGE(B22:G22)</f>
        <v/>
      </c>
      <c r="I22" s="14">
        <f>COUNT('Comparativo por Cidade'!B262:B267)</f>
        <v/>
      </c>
    </row>
    <row r="23">
      <c r="A23" s="14" t="inlineStr">
        <is>
          <t>Guarulhos - 07240-230</t>
        </is>
      </c>
      <c r="B23" s="17">
        <f>'Comparativo por Cidade'!B286</f>
        <v/>
      </c>
      <c r="C23" s="17">
        <f>'Comparativo por Cidade'!C286</f>
        <v/>
      </c>
      <c r="D23" s="17">
        <f>'Comparativo por Cidade'!D286</f>
        <v/>
      </c>
      <c r="E23" s="17">
        <f>'Comparativo por Cidade'!E286</f>
        <v/>
      </c>
      <c r="F23" s="17">
        <f>'Comparativo por Cidade'!F286</f>
        <v/>
      </c>
      <c r="G23" s="17">
        <f>'Comparativo por Cidade'!G286</f>
        <v/>
      </c>
      <c r="H23" s="18">
        <f>AVERAGE(B23:G23)</f>
        <v/>
      </c>
      <c r="I23" s="14">
        <f>COUNT('Comparativo por Cidade'!B277:B282)</f>
        <v/>
      </c>
    </row>
    <row r="24">
      <c r="A24" s="14" t="inlineStr">
        <is>
          <t>Osasco - 06140-000</t>
        </is>
      </c>
      <c r="B24" s="17">
        <f>'Comparativo por Cidade'!B302</f>
        <v/>
      </c>
      <c r="C24" s="17">
        <f>'Comparativo por Cidade'!C302</f>
        <v/>
      </c>
      <c r="D24" s="17">
        <f>'Comparativo por Cidade'!D302</f>
        <v/>
      </c>
      <c r="E24" s="17">
        <f>'Comparativo por Cidade'!E302</f>
        <v/>
      </c>
      <c r="F24" s="17">
        <f>'Comparativo por Cidade'!F302</f>
        <v/>
      </c>
      <c r="G24" s="17">
        <f>'Comparativo por Cidade'!G302</f>
        <v/>
      </c>
      <c r="H24" s="18">
        <f>AVERAGE(B24:G24)</f>
        <v/>
      </c>
      <c r="I24" s="14">
        <f>COUNT('Comparativo por Cidade'!B292:B298)</f>
        <v/>
      </c>
    </row>
    <row r="25">
      <c r="A25" s="14" t="inlineStr">
        <is>
          <t>Santana de Parnaíba - 06528-305</t>
        </is>
      </c>
      <c r="B25" s="17">
        <f>'Comparativo por Cidade'!B317</f>
        <v/>
      </c>
      <c r="C25" s="17">
        <f>'Comparativo por Cidade'!C317</f>
        <v/>
      </c>
      <c r="D25" s="17">
        <f>'Comparativo por Cidade'!D317</f>
        <v/>
      </c>
      <c r="E25" s="17">
        <f>'Comparativo por Cidade'!E317</f>
        <v/>
      </c>
      <c r="F25" s="17">
        <f>'Comparativo por Cidade'!F317</f>
        <v/>
      </c>
      <c r="G25" s="17">
        <f>'Comparativo por Cidade'!G317</f>
        <v/>
      </c>
      <c r="H25" s="18">
        <f>AVERAGE(B25:G25)</f>
        <v/>
      </c>
      <c r="I25" s="14">
        <f>COUNT('Comparativo por Cidade'!B308:B313)</f>
        <v/>
      </c>
    </row>
    <row r="26">
      <c r="A26" s="14" t="inlineStr">
        <is>
          <t>Santo André - 09070-010</t>
        </is>
      </c>
      <c r="B26" s="17">
        <f>'Comparativo por Cidade'!B332</f>
        <v/>
      </c>
      <c r="C26" s="17">
        <f>'Comparativo por Cidade'!C332</f>
        <v/>
      </c>
      <c r="D26" s="17">
        <f>'Comparativo por Cidade'!D332</f>
        <v/>
      </c>
      <c r="E26" s="17">
        <f>'Comparativo por Cidade'!E332</f>
        <v/>
      </c>
      <c r="F26" s="17">
        <f>'Comparativo por Cidade'!F332</f>
        <v/>
      </c>
      <c r="G26" s="17">
        <f>'Comparativo por Cidade'!G332</f>
        <v/>
      </c>
      <c r="H26" s="18">
        <f>AVERAGE(B26:G26)</f>
        <v/>
      </c>
      <c r="I26" s="14">
        <f>COUNT('Comparativo por Cidade'!B323:B328)</f>
        <v/>
      </c>
    </row>
    <row r="27">
      <c r="A27" s="14" t="inlineStr">
        <is>
          <t>São Bernardo do Campo - 09840-628</t>
        </is>
      </c>
      <c r="B27" s="17">
        <f>'Comparativo por Cidade'!B347</f>
        <v/>
      </c>
      <c r="C27" s="17">
        <f>'Comparativo por Cidade'!C347</f>
        <v/>
      </c>
      <c r="D27" s="17">
        <f>'Comparativo por Cidade'!D347</f>
        <v/>
      </c>
      <c r="E27" s="17">
        <f>'Comparativo por Cidade'!E347</f>
        <v/>
      </c>
      <c r="F27" s="17">
        <f>'Comparativo por Cidade'!F347</f>
        <v/>
      </c>
      <c r="G27" s="17">
        <f>'Comparativo por Cidade'!G347</f>
        <v/>
      </c>
      <c r="H27" s="18">
        <f>AVERAGE(B27:G27)</f>
        <v/>
      </c>
      <c r="I27" s="14">
        <f>COUNT('Comparativo por Cidade'!B338:B343)</f>
        <v/>
      </c>
    </row>
    <row r="28">
      <c r="A28" s="14" t="inlineStr">
        <is>
          <t>São Caetano do Sul - 09521-010</t>
        </is>
      </c>
      <c r="B28" s="17">
        <f>'Comparativo por Cidade'!B362</f>
        <v/>
      </c>
      <c r="C28" s="17">
        <f>'Comparativo por Cidade'!C362</f>
        <v/>
      </c>
      <c r="D28" s="17">
        <f>'Comparativo por Cidade'!D362</f>
        <v/>
      </c>
      <c r="E28" s="17">
        <f>'Comparativo por Cidade'!E362</f>
        <v/>
      </c>
      <c r="F28" s="17">
        <f>'Comparativo por Cidade'!F362</f>
        <v/>
      </c>
      <c r="G28" s="17">
        <f>'Comparativo por Cidade'!G362</f>
        <v/>
      </c>
      <c r="H28" s="18">
        <f>AVERAGE(B28:G28)</f>
        <v/>
      </c>
      <c r="I28" s="14">
        <f>COUNT('Comparativo por Cidade'!B353:B358)</f>
        <v/>
      </c>
    </row>
    <row r="29">
      <c r="A29" s="14" t="inlineStr">
        <is>
          <t>Taboão da Serra - 06765-904</t>
        </is>
      </c>
      <c r="B29" s="17">
        <f>'Comparativo por Cidade'!B377</f>
        <v/>
      </c>
      <c r="C29" s="17">
        <f>'Comparativo por Cidade'!C377</f>
        <v/>
      </c>
      <c r="D29" s="17">
        <f>'Comparativo por Cidade'!D377</f>
        <v/>
      </c>
      <c r="E29" s="17">
        <f>'Comparativo por Cidade'!E377</f>
        <v/>
      </c>
      <c r="F29" s="17">
        <f>'Comparativo por Cidade'!F377</f>
        <v/>
      </c>
      <c r="G29" s="17">
        <f>'Comparativo por Cidade'!G377</f>
        <v/>
      </c>
      <c r="H29" s="18">
        <f>AVERAGE(B29:G29)</f>
        <v/>
      </c>
      <c r="I29" s="14">
        <f>COUNT('Comparativo por Cidade'!B368:B373)</f>
        <v/>
      </c>
    </row>
    <row r="30">
      <c r="A30" s="14" t="inlineStr">
        <is>
          <t>São Paulo - 02820-030</t>
        </is>
      </c>
      <c r="B30" s="17">
        <f>'Comparativo por Cidade'!B392</f>
        <v/>
      </c>
      <c r="C30" s="17">
        <f>'Comparativo por Cidade'!C392</f>
        <v/>
      </c>
      <c r="D30" s="17">
        <f>'Comparativo por Cidade'!D392</f>
        <v/>
      </c>
      <c r="E30" s="17">
        <f>'Comparativo por Cidade'!E392</f>
        <v/>
      </c>
      <c r="F30" s="17">
        <f>'Comparativo por Cidade'!F392</f>
        <v/>
      </c>
      <c r="G30" s="17">
        <f>'Comparativo por Cidade'!G392</f>
        <v/>
      </c>
      <c r="H30" s="18">
        <f>AVERAGE(B30:G30)</f>
        <v/>
      </c>
      <c r="I30" s="14">
        <f>COUNT('Comparativo por Cidade'!B383:B388)</f>
        <v/>
      </c>
    </row>
    <row r="31">
      <c r="A31" s="19" t="inlineStr">
        <is>
          <t>Média geral</t>
        </is>
      </c>
      <c r="B31" s="20">
        <f>AVERAGE(B5:B30)</f>
        <v/>
      </c>
      <c r="C31" s="20">
        <f>AVERAGE(C5:C30)</f>
        <v/>
      </c>
      <c r="D31" s="20">
        <f>AVERAGE(D5:D30)</f>
        <v/>
      </c>
      <c r="E31" s="20">
        <f>AVERAGE(E5:E30)</f>
        <v/>
      </c>
      <c r="F31" s="20">
        <f>AVERAGE(F5:F30)</f>
        <v/>
      </c>
      <c r="G31" s="20">
        <f>AVERAGE(G5:G30)</f>
        <v/>
      </c>
      <c r="H31" s="20">
        <f>AVERAGE(H5:H30)</f>
        <v/>
      </c>
    </row>
    <row r="33">
      <c r="A33" s="1" t="inlineStr">
        <is>
          <t>Posição da RAJLOG no ranking (1º = mais barata)</t>
        </is>
      </c>
    </row>
    <row r="34">
      <c r="A34" s="2" t="inlineStr">
        <is>
          <t>Cidade</t>
        </is>
      </c>
      <c r="B34" s="2" t="inlineStr">
        <is>
          <t>20 kg</t>
        </is>
      </c>
      <c r="C34" s="2" t="inlineStr">
        <is>
          <t>40 kg</t>
        </is>
      </c>
      <c r="D34" s="2" t="inlineStr">
        <is>
          <t>60 kg</t>
        </is>
      </c>
      <c r="E34" s="2" t="inlineStr">
        <is>
          <t>80 kg</t>
        </is>
      </c>
      <c r="F34" s="2" t="inlineStr">
        <is>
          <t>100 kg</t>
        </is>
      </c>
      <c r="G34" s="2" t="inlineStr">
        <is>
          <t>120 kg</t>
        </is>
      </c>
    </row>
    <row r="35">
      <c r="A35" s="14" t="inlineStr">
        <is>
          <t>Arujá - 07400-165</t>
        </is>
      </c>
      <c r="B35" s="4">
        <f>'Comparativo por Cidade'!B13</f>
        <v/>
      </c>
      <c r="C35" s="4">
        <f>'Comparativo por Cidade'!C13</f>
        <v/>
      </c>
      <c r="D35" s="4">
        <f>'Comparativo por Cidade'!D13</f>
        <v/>
      </c>
      <c r="E35" s="4">
        <f>'Comparativo por Cidade'!E13</f>
        <v/>
      </c>
      <c r="F35" s="4">
        <f>'Comparativo por Cidade'!F13</f>
        <v/>
      </c>
      <c r="G35" s="4">
        <f>'Comparativo por Cidade'!G13</f>
        <v/>
      </c>
    </row>
    <row r="36">
      <c r="A36" s="14" t="inlineStr">
        <is>
          <t>Caieiras - 07714-600</t>
        </is>
      </c>
      <c r="B36" s="4">
        <f>'Comparativo por Cidade'!B27</f>
        <v/>
      </c>
      <c r="C36" s="4">
        <f>'Comparativo por Cidade'!C27</f>
        <v/>
      </c>
      <c r="D36" s="4">
        <f>'Comparativo por Cidade'!D27</f>
        <v/>
      </c>
      <c r="E36" s="4">
        <f>'Comparativo por Cidade'!E27</f>
        <v/>
      </c>
      <c r="F36" s="4">
        <f>'Comparativo por Cidade'!F27</f>
        <v/>
      </c>
      <c r="G36" s="4">
        <f>'Comparativo por Cidade'!G27</f>
        <v/>
      </c>
    </row>
    <row r="37">
      <c r="A37" s="14" t="inlineStr">
        <is>
          <t>Cajamar - 07786-425</t>
        </is>
      </c>
      <c r="B37" s="4">
        <f>'Comparativo por Cidade'!B41</f>
        <v/>
      </c>
      <c r="C37" s="4">
        <f>'Comparativo por Cidade'!C41</f>
        <v/>
      </c>
      <c r="D37" s="4">
        <f>'Comparativo por Cidade'!D41</f>
        <v/>
      </c>
      <c r="E37" s="4">
        <f>'Comparativo por Cidade'!E41</f>
        <v/>
      </c>
      <c r="F37" s="4">
        <f>'Comparativo por Cidade'!F41</f>
        <v/>
      </c>
      <c r="G37" s="4">
        <f>'Comparativo por Cidade'!G41</f>
        <v/>
      </c>
    </row>
    <row r="38">
      <c r="A38" s="14" t="inlineStr">
        <is>
          <t>Carapicuíba - 06395-360</t>
        </is>
      </c>
      <c r="B38" s="4">
        <f>'Comparativo por Cidade'!B57</f>
        <v/>
      </c>
      <c r="C38" s="4">
        <f>'Comparativo por Cidade'!C57</f>
        <v/>
      </c>
      <c r="D38" s="4">
        <f>'Comparativo por Cidade'!D57</f>
        <v/>
      </c>
      <c r="E38" s="4">
        <f>'Comparativo por Cidade'!E57</f>
        <v/>
      </c>
      <c r="F38" s="4">
        <f>'Comparativo por Cidade'!F57</f>
        <v/>
      </c>
      <c r="G38" s="4">
        <f>'Comparativo por Cidade'!G57</f>
        <v/>
      </c>
    </row>
    <row r="39">
      <c r="A39" s="14" t="inlineStr">
        <is>
          <t>Cotia - 06727-185</t>
        </is>
      </c>
      <c r="B39" s="4">
        <f>'Comparativo por Cidade'!B72</f>
        <v/>
      </c>
      <c r="C39" s="4">
        <f>'Comparativo por Cidade'!C72</f>
        <v/>
      </c>
      <c r="D39" s="4">
        <f>'Comparativo por Cidade'!D72</f>
        <v/>
      </c>
      <c r="E39" s="4">
        <f>'Comparativo por Cidade'!E72</f>
        <v/>
      </c>
      <c r="F39" s="4">
        <f>'Comparativo por Cidade'!F72</f>
        <v/>
      </c>
      <c r="G39" s="4">
        <f>'Comparativo por Cidade'!G72</f>
        <v/>
      </c>
    </row>
    <row r="40">
      <c r="A40" s="14" t="inlineStr">
        <is>
          <t>Embu das Artes - 06816-030</t>
        </is>
      </c>
      <c r="B40" s="4">
        <f>'Comparativo por Cidade'!B87</f>
        <v/>
      </c>
      <c r="C40" s="4">
        <f>'Comparativo por Cidade'!C87</f>
        <v/>
      </c>
      <c r="D40" s="4">
        <f>'Comparativo por Cidade'!D87</f>
        <v/>
      </c>
      <c r="E40" s="4">
        <f>'Comparativo por Cidade'!E87</f>
        <v/>
      </c>
      <c r="F40" s="4">
        <f>'Comparativo por Cidade'!F87</f>
        <v/>
      </c>
      <c r="G40" s="4">
        <f>'Comparativo por Cidade'!G87</f>
        <v/>
      </c>
    </row>
    <row r="41">
      <c r="A41" s="14" t="inlineStr">
        <is>
          <t>Ferraz de Vasconcelos - 08545-210</t>
        </is>
      </c>
      <c r="B41" s="4">
        <f>'Comparativo por Cidade'!B103</f>
        <v/>
      </c>
      <c r="C41" s="4">
        <f>'Comparativo por Cidade'!C103</f>
        <v/>
      </c>
      <c r="D41" s="4">
        <f>'Comparativo por Cidade'!D103</f>
        <v/>
      </c>
      <c r="E41" s="4">
        <f>'Comparativo por Cidade'!E103</f>
        <v/>
      </c>
      <c r="F41" s="4">
        <f>'Comparativo por Cidade'!F103</f>
        <v/>
      </c>
      <c r="G41" s="4">
        <f>'Comparativo por Cidade'!G103</f>
        <v/>
      </c>
    </row>
    <row r="42">
      <c r="A42" s="14" t="inlineStr">
        <is>
          <t>Francisco Morato - 07950-260</t>
        </is>
      </c>
      <c r="B42" s="4">
        <f>'Comparativo por Cidade'!B117</f>
        <v/>
      </c>
      <c r="C42" s="4">
        <f>'Comparativo por Cidade'!C117</f>
        <v/>
      </c>
      <c r="D42" s="4">
        <f>'Comparativo por Cidade'!D117</f>
        <v/>
      </c>
      <c r="E42" s="4">
        <f>'Comparativo por Cidade'!E117</f>
        <v/>
      </c>
      <c r="F42" s="4">
        <f>'Comparativo por Cidade'!F117</f>
        <v/>
      </c>
      <c r="G42" s="4">
        <f>'Comparativo por Cidade'!G117</f>
        <v/>
      </c>
    </row>
    <row r="43">
      <c r="A43" s="14" t="inlineStr">
        <is>
          <t>Franco da Rocha - 07851-060</t>
        </is>
      </c>
      <c r="B43" s="4">
        <f>'Comparativo por Cidade'!B131</f>
        <v/>
      </c>
      <c r="C43" s="4">
        <f>'Comparativo por Cidade'!C131</f>
        <v/>
      </c>
      <c r="D43" s="4">
        <f>'Comparativo por Cidade'!D131</f>
        <v/>
      </c>
      <c r="E43" s="4">
        <f>'Comparativo por Cidade'!E131</f>
        <v/>
      </c>
      <c r="F43" s="4">
        <f>'Comparativo por Cidade'!F131</f>
        <v/>
      </c>
      <c r="G43" s="4">
        <f>'Comparativo por Cidade'!G131</f>
        <v/>
      </c>
    </row>
    <row r="44">
      <c r="A44" s="14" t="inlineStr">
        <is>
          <t>Itaquaquecetuba - 08594-270</t>
        </is>
      </c>
      <c r="B44" s="4">
        <f>'Comparativo por Cidade'!B147</f>
        <v/>
      </c>
      <c r="C44" s="4">
        <f>'Comparativo por Cidade'!C147</f>
        <v/>
      </c>
      <c r="D44" s="4">
        <f>'Comparativo por Cidade'!D147</f>
        <v/>
      </c>
      <c r="E44" s="4">
        <f>'Comparativo por Cidade'!E147</f>
        <v/>
      </c>
      <c r="F44" s="4">
        <f>'Comparativo por Cidade'!F147</f>
        <v/>
      </c>
      <c r="G44" s="4">
        <f>'Comparativo por Cidade'!G147</f>
        <v/>
      </c>
    </row>
    <row r="45">
      <c r="A45" s="14" t="inlineStr">
        <is>
          <t>Jandira - 06624-090</t>
        </is>
      </c>
      <c r="B45" s="4">
        <f>'Comparativo por Cidade'!B162</f>
        <v/>
      </c>
      <c r="C45" s="4">
        <f>'Comparativo por Cidade'!C162</f>
        <v/>
      </c>
      <c r="D45" s="4">
        <f>'Comparativo por Cidade'!D162</f>
        <v/>
      </c>
      <c r="E45" s="4">
        <f>'Comparativo por Cidade'!E162</f>
        <v/>
      </c>
      <c r="F45" s="4">
        <f>'Comparativo por Cidade'!F162</f>
        <v/>
      </c>
      <c r="G45" s="4">
        <f>'Comparativo por Cidade'!G162</f>
        <v/>
      </c>
    </row>
    <row r="46">
      <c r="A46" s="14" t="inlineStr">
        <is>
          <t>Mairiporã - 07629-694</t>
        </is>
      </c>
      <c r="B46" s="4">
        <f>'Comparativo por Cidade'!B176</f>
        <v/>
      </c>
      <c r="C46" s="4">
        <f>'Comparativo por Cidade'!C176</f>
        <v/>
      </c>
      <c r="D46" s="4">
        <f>'Comparativo por Cidade'!D176</f>
        <v/>
      </c>
      <c r="E46" s="4">
        <f>'Comparativo por Cidade'!E176</f>
        <v/>
      </c>
      <c r="F46" s="4">
        <f>'Comparativo por Cidade'!F176</f>
        <v/>
      </c>
      <c r="G46" s="4">
        <f>'Comparativo por Cidade'!G176</f>
        <v/>
      </c>
    </row>
    <row r="47">
      <c r="A47" s="14" t="inlineStr">
        <is>
          <t>Mauá - 09390-650</t>
        </is>
      </c>
      <c r="B47" s="4">
        <f>'Comparativo por Cidade'!B191</f>
        <v/>
      </c>
      <c r="C47" s="4">
        <f>'Comparativo por Cidade'!C191</f>
        <v/>
      </c>
      <c r="D47" s="4">
        <f>'Comparativo por Cidade'!D191</f>
        <v/>
      </c>
      <c r="E47" s="4">
        <f>'Comparativo por Cidade'!E191</f>
        <v/>
      </c>
      <c r="F47" s="4">
        <f>'Comparativo por Cidade'!F191</f>
        <v/>
      </c>
      <c r="G47" s="4">
        <f>'Comparativo por Cidade'!G191</f>
        <v/>
      </c>
    </row>
    <row r="48">
      <c r="A48" s="14" t="inlineStr">
        <is>
          <t>Mogi das Cruzes - 08750-760</t>
        </is>
      </c>
      <c r="B48" s="4">
        <f>'Comparativo por Cidade'!B207</f>
        <v/>
      </c>
      <c r="C48" s="4">
        <f>'Comparativo por Cidade'!C207</f>
        <v/>
      </c>
      <c r="D48" s="4">
        <f>'Comparativo por Cidade'!D207</f>
        <v/>
      </c>
      <c r="E48" s="4">
        <f>'Comparativo por Cidade'!E207</f>
        <v/>
      </c>
      <c r="F48" s="4">
        <f>'Comparativo por Cidade'!F207</f>
        <v/>
      </c>
      <c r="G48" s="4">
        <f>'Comparativo por Cidade'!G207</f>
        <v/>
      </c>
    </row>
    <row r="49">
      <c r="A49" s="14" t="inlineStr">
        <is>
          <t>Poá - 08553-240</t>
        </is>
      </c>
      <c r="B49" s="4">
        <f>'Comparativo por Cidade'!B223</f>
        <v/>
      </c>
      <c r="C49" s="4">
        <f>'Comparativo por Cidade'!C223</f>
        <v/>
      </c>
      <c r="D49" s="4">
        <f>'Comparativo por Cidade'!D223</f>
        <v/>
      </c>
      <c r="E49" s="4">
        <f>'Comparativo por Cidade'!E223</f>
        <v/>
      </c>
      <c r="F49" s="4">
        <f>'Comparativo por Cidade'!F223</f>
        <v/>
      </c>
      <c r="G49" s="4">
        <f>'Comparativo por Cidade'!G223</f>
        <v/>
      </c>
    </row>
    <row r="50">
      <c r="A50" s="14" t="inlineStr">
        <is>
          <t>Suzano - 08616-260</t>
        </is>
      </c>
      <c r="B50" s="4">
        <f>'Comparativo por Cidade'!B239</f>
        <v/>
      </c>
      <c r="C50" s="4">
        <f>'Comparativo por Cidade'!C239</f>
        <v/>
      </c>
      <c r="D50" s="4">
        <f>'Comparativo por Cidade'!D239</f>
        <v/>
      </c>
      <c r="E50" s="4">
        <f>'Comparativo por Cidade'!E239</f>
        <v/>
      </c>
      <c r="F50" s="4">
        <f>'Comparativo por Cidade'!F239</f>
        <v/>
      </c>
      <c r="G50" s="4">
        <f>'Comparativo por Cidade'!G239</f>
        <v/>
      </c>
    </row>
    <row r="51">
      <c r="A51" s="14" t="inlineStr">
        <is>
          <t>Barueri - 06449-080</t>
        </is>
      </c>
      <c r="B51" s="4">
        <f>'Comparativo por Cidade'!B255</f>
        <v/>
      </c>
      <c r="C51" s="4">
        <f>'Comparativo por Cidade'!C255</f>
        <v/>
      </c>
      <c r="D51" s="4">
        <f>'Comparativo por Cidade'!D255</f>
        <v/>
      </c>
      <c r="E51" s="4">
        <f>'Comparativo por Cidade'!E255</f>
        <v/>
      </c>
      <c r="F51" s="4">
        <f>'Comparativo por Cidade'!F255</f>
        <v/>
      </c>
      <c r="G51" s="4">
        <f>'Comparativo por Cidade'!G255</f>
        <v/>
      </c>
    </row>
    <row r="52">
      <c r="A52" s="14" t="inlineStr">
        <is>
          <t>Diadema - 09960-750</t>
        </is>
      </c>
      <c r="B52" s="4">
        <f>'Comparativo por Cidade'!B270</f>
        <v/>
      </c>
      <c r="C52" s="4">
        <f>'Comparativo por Cidade'!C270</f>
        <v/>
      </c>
      <c r="D52" s="4">
        <f>'Comparativo por Cidade'!D270</f>
        <v/>
      </c>
      <c r="E52" s="4">
        <f>'Comparativo por Cidade'!E270</f>
        <v/>
      </c>
      <c r="F52" s="4">
        <f>'Comparativo por Cidade'!F270</f>
        <v/>
      </c>
      <c r="G52" s="4">
        <f>'Comparativo por Cidade'!G270</f>
        <v/>
      </c>
    </row>
    <row r="53">
      <c r="A53" s="14" t="inlineStr">
        <is>
          <t>Guarulhos - 07240-230</t>
        </is>
      </c>
      <c r="B53" s="4">
        <f>'Comparativo por Cidade'!B285</f>
        <v/>
      </c>
      <c r="C53" s="4">
        <f>'Comparativo por Cidade'!C285</f>
        <v/>
      </c>
      <c r="D53" s="4">
        <f>'Comparativo por Cidade'!D285</f>
        <v/>
      </c>
      <c r="E53" s="4">
        <f>'Comparativo por Cidade'!E285</f>
        <v/>
      </c>
      <c r="F53" s="4">
        <f>'Comparativo por Cidade'!F285</f>
        <v/>
      </c>
      <c r="G53" s="4">
        <f>'Comparativo por Cidade'!G285</f>
        <v/>
      </c>
    </row>
    <row r="54">
      <c r="A54" s="14" t="inlineStr">
        <is>
          <t>Osasco - 06140-000</t>
        </is>
      </c>
      <c r="B54" s="4">
        <f>'Comparativo por Cidade'!B301</f>
        <v/>
      </c>
      <c r="C54" s="4">
        <f>'Comparativo por Cidade'!C301</f>
        <v/>
      </c>
      <c r="D54" s="4">
        <f>'Comparativo por Cidade'!D301</f>
        <v/>
      </c>
      <c r="E54" s="4">
        <f>'Comparativo por Cidade'!E301</f>
        <v/>
      </c>
      <c r="F54" s="4">
        <f>'Comparativo por Cidade'!F301</f>
        <v/>
      </c>
      <c r="G54" s="4">
        <f>'Comparativo por Cidade'!G301</f>
        <v/>
      </c>
    </row>
    <row r="55">
      <c r="A55" s="14" t="inlineStr">
        <is>
          <t>Santana de Parnaíba - 06528-305</t>
        </is>
      </c>
      <c r="B55" s="4">
        <f>'Comparativo por Cidade'!B316</f>
        <v/>
      </c>
      <c r="C55" s="4">
        <f>'Comparativo por Cidade'!C316</f>
        <v/>
      </c>
      <c r="D55" s="4">
        <f>'Comparativo por Cidade'!D316</f>
        <v/>
      </c>
      <c r="E55" s="4">
        <f>'Comparativo por Cidade'!E316</f>
        <v/>
      </c>
      <c r="F55" s="4">
        <f>'Comparativo por Cidade'!F316</f>
        <v/>
      </c>
      <c r="G55" s="4">
        <f>'Comparativo por Cidade'!G316</f>
        <v/>
      </c>
    </row>
    <row r="56">
      <c r="A56" s="14" t="inlineStr">
        <is>
          <t>Santo André - 09070-010</t>
        </is>
      </c>
      <c r="B56" s="4">
        <f>'Comparativo por Cidade'!B331</f>
        <v/>
      </c>
      <c r="C56" s="4">
        <f>'Comparativo por Cidade'!C331</f>
        <v/>
      </c>
      <c r="D56" s="4">
        <f>'Comparativo por Cidade'!D331</f>
        <v/>
      </c>
      <c r="E56" s="4">
        <f>'Comparativo por Cidade'!E331</f>
        <v/>
      </c>
      <c r="F56" s="4">
        <f>'Comparativo por Cidade'!F331</f>
        <v/>
      </c>
      <c r="G56" s="4">
        <f>'Comparativo por Cidade'!G331</f>
        <v/>
      </c>
    </row>
    <row r="57">
      <c r="A57" s="14" t="inlineStr">
        <is>
          <t>São Bernardo do Campo - 09840-628</t>
        </is>
      </c>
      <c r="B57" s="4">
        <f>'Comparativo por Cidade'!B346</f>
        <v/>
      </c>
      <c r="C57" s="4">
        <f>'Comparativo por Cidade'!C346</f>
        <v/>
      </c>
      <c r="D57" s="4">
        <f>'Comparativo por Cidade'!D346</f>
        <v/>
      </c>
      <c r="E57" s="4">
        <f>'Comparativo por Cidade'!E346</f>
        <v/>
      </c>
      <c r="F57" s="4">
        <f>'Comparativo por Cidade'!F346</f>
        <v/>
      </c>
      <c r="G57" s="4">
        <f>'Comparativo por Cidade'!G346</f>
        <v/>
      </c>
    </row>
    <row r="58">
      <c r="A58" s="14" t="inlineStr">
        <is>
          <t>São Caetano do Sul - 09521-010</t>
        </is>
      </c>
      <c r="B58" s="4">
        <f>'Comparativo por Cidade'!B361</f>
        <v/>
      </c>
      <c r="C58" s="4">
        <f>'Comparativo por Cidade'!C361</f>
        <v/>
      </c>
      <c r="D58" s="4">
        <f>'Comparativo por Cidade'!D361</f>
        <v/>
      </c>
      <c r="E58" s="4">
        <f>'Comparativo por Cidade'!E361</f>
        <v/>
      </c>
      <c r="F58" s="4">
        <f>'Comparativo por Cidade'!F361</f>
        <v/>
      </c>
      <c r="G58" s="4">
        <f>'Comparativo por Cidade'!G361</f>
        <v/>
      </c>
    </row>
    <row r="59">
      <c r="A59" s="14" t="inlineStr">
        <is>
          <t>Taboão da Serra - 06765-904</t>
        </is>
      </c>
      <c r="B59" s="4">
        <f>'Comparativo por Cidade'!B376</f>
        <v/>
      </c>
      <c r="C59" s="4">
        <f>'Comparativo por Cidade'!C376</f>
        <v/>
      </c>
      <c r="D59" s="4">
        <f>'Comparativo por Cidade'!D376</f>
        <v/>
      </c>
      <c r="E59" s="4">
        <f>'Comparativo por Cidade'!E376</f>
        <v/>
      </c>
      <c r="F59" s="4">
        <f>'Comparativo por Cidade'!F376</f>
        <v/>
      </c>
      <c r="G59" s="4">
        <f>'Comparativo por Cidade'!G376</f>
        <v/>
      </c>
    </row>
    <row r="60">
      <c r="A60" s="14" t="inlineStr">
        <is>
          <t>São Paulo - 02820-030</t>
        </is>
      </c>
      <c r="B60" s="4">
        <f>'Comparativo por Cidade'!B391</f>
        <v/>
      </c>
      <c r="C60" s="4">
        <f>'Comparativo por Cidade'!C391</f>
        <v/>
      </c>
      <c r="D60" s="4">
        <f>'Comparativo por Cidade'!D391</f>
        <v/>
      </c>
      <c r="E60" s="4">
        <f>'Comparativo por Cidade'!E391</f>
        <v/>
      </c>
      <c r="F60" s="4">
        <f>'Comparativo por Cidade'!F391</f>
        <v/>
      </c>
      <c r="G60" s="4">
        <f>'Comparativo por Cidade'!G391</f>
        <v/>
      </c>
    </row>
    <row r="61">
      <c r="A61" s="12" t="inlineStr">
        <is>
          <t>Vezes em 1º lugar</t>
        </is>
      </c>
      <c r="B61" s="21">
        <f>COUNTIF(B35:B60,"1º*")&amp;" de "&amp;ROWS(B35:B60)</f>
        <v/>
      </c>
      <c r="C61" s="21">
        <f>COUNTIF(C35:C60,"1º*")&amp;" de "&amp;ROWS(C35:C60)</f>
        <v/>
      </c>
      <c r="D61" s="21">
        <f>COUNTIF(D35:D60,"1º*")&amp;" de "&amp;ROWS(D35:D60)</f>
        <v/>
      </c>
      <c r="E61" s="21">
        <f>COUNTIF(E35:E60,"1º*")&amp;" de "&amp;ROWS(E35:E60)</f>
        <v/>
      </c>
      <c r="F61" s="21">
        <f>COUNTIF(F35:F60,"1º*")&amp;" de "&amp;ROWS(F35:F60)</f>
        <v/>
      </c>
      <c r="G61" s="21">
        <f>COUNTIF(G35:G60,"1º*")&amp;" de "&amp;ROWS(G35:G60)</f>
        <v/>
      </c>
    </row>
  </sheetData>
  <conditionalFormatting sqref="B5:H31">
    <cfRule type="expression" priority="1" dxfId="0">
      <formula>B5&lt;=0</formula>
    </cfRule>
    <cfRule type="expression" priority="2" dxfId="1">
      <formula>B5&gt;0</formula>
    </cfRule>
  </conditionalFormatting>
  <conditionalFormatting sqref="B35:G60">
    <cfRule type="expression" priority="3" dxfId="2">
      <formula>LEFT(B35,1)="1"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Comparativo de frete – somente as 7 transportadoras selecionadas (valores com ICMS)</t>
        </is>
      </c>
    </row>
    <row r="2">
      <c r="A2" s="16" t="inlineStr">
        <is>
          <t>Verde = menor valor da faixa na cidade · % negativo = RAJLOG mais barata · linha amarela = RAJLOG · linhas cinza calculadas por fórmula</t>
        </is>
      </c>
    </row>
    <row r="4">
      <c r="A4" s="22" t="inlineStr">
        <is>
          <t>Arujá - 07400-165</t>
        </is>
      </c>
      <c r="B4" s="23" t="n"/>
      <c r="C4" s="23" t="n"/>
      <c r="D4" s="23" t="n"/>
      <c r="E4" s="23" t="n"/>
      <c r="F4" s="23" t="n"/>
      <c r="G4" s="23" t="n"/>
      <c r="H4" s="23" t="n"/>
    </row>
    <row r="5">
      <c r="A5" s="24" t="inlineStr">
        <is>
          <t>Transportadora</t>
        </is>
      </c>
      <c r="B5" s="24" t="inlineStr">
        <is>
          <t>20 kg</t>
        </is>
      </c>
      <c r="C5" s="24" t="inlineStr">
        <is>
          <t>40 kg</t>
        </is>
      </c>
      <c r="D5" s="24" t="inlineStr">
        <is>
          <t>60 kg</t>
        </is>
      </c>
      <c r="E5" s="24" t="inlineStr">
        <is>
          <t>80 kg</t>
        </is>
      </c>
      <c r="F5" s="24" t="inlineStr">
        <is>
          <t>100 kg</t>
        </is>
      </c>
      <c r="G5" s="24" t="inlineStr">
        <is>
          <t>120 kg</t>
        </is>
      </c>
      <c r="H5" s="24" t="inlineStr">
        <is>
          <t>Prazo (dias)</t>
        </is>
      </c>
    </row>
    <row r="6">
      <c r="A6" s="14" t="inlineStr">
        <is>
          <t>TRANSIGA FILIAL SP</t>
        </is>
      </c>
      <c r="B6" s="25" t="n">
        <v>87.90000000000001</v>
      </c>
      <c r="C6" s="25" t="n">
        <v>109.6</v>
      </c>
      <c r="D6" s="25" t="n">
        <v>138.81</v>
      </c>
      <c r="E6" s="25" t="n">
        <v>170.43</v>
      </c>
      <c r="F6" s="25" t="n">
        <v>191.42</v>
      </c>
      <c r="G6" s="25" t="n">
        <v>240.4</v>
      </c>
      <c r="H6" s="4" t="n">
        <v>7</v>
      </c>
    </row>
    <row r="7">
      <c r="A7" s="26" t="inlineStr">
        <is>
          <t>RAJLOG</t>
        </is>
      </c>
      <c r="B7" s="27" t="n">
        <v>53.05</v>
      </c>
      <c r="C7" s="27" t="n">
        <v>81.65000000000001</v>
      </c>
      <c r="D7" s="27" t="n">
        <v>117.47</v>
      </c>
      <c r="E7" s="27" t="n">
        <v>158.41</v>
      </c>
      <c r="F7" s="27" t="n">
        <v>168.64</v>
      </c>
      <c r="G7" s="27" t="n">
        <v>221.03</v>
      </c>
      <c r="H7" s="8" t="n">
        <v>5</v>
      </c>
    </row>
    <row r="8">
      <c r="A8" s="14" t="inlineStr">
        <is>
          <t>Trans Sua Log - Standard</t>
        </is>
      </c>
      <c r="B8" s="25" t="n">
        <v>80.64</v>
      </c>
      <c r="C8" s="25" t="n">
        <v>97.81999999999999</v>
      </c>
      <c r="D8" s="25" t="n">
        <v>113.18</v>
      </c>
      <c r="E8" s="25" t="n">
        <v>133.72</v>
      </c>
      <c r="F8" s="25" t="n">
        <v>158.06</v>
      </c>
      <c r="G8" s="25" t="n">
        <v>185.63</v>
      </c>
      <c r="H8" s="4" t="n">
        <v>8</v>
      </c>
    </row>
    <row r="9">
      <c r="A9" s="14" t="inlineStr">
        <is>
          <t>Transvanio</t>
        </is>
      </c>
      <c r="B9" s="25" t="n">
        <v>85.23999999999999</v>
      </c>
      <c r="C9" s="25" t="n">
        <v>104.55</v>
      </c>
      <c r="D9" s="25" t="n">
        <v>123.98</v>
      </c>
      <c r="E9" s="25" t="n">
        <v>143.61</v>
      </c>
      <c r="F9" s="25" t="n">
        <v>163.14</v>
      </c>
      <c r="G9" s="25" t="n">
        <v>196.72</v>
      </c>
      <c r="H9" s="4" t="n">
        <v>4</v>
      </c>
    </row>
    <row r="10">
      <c r="A10" s="14" t="inlineStr">
        <is>
          <t>Trilog Express</t>
        </is>
      </c>
      <c r="B10" s="25" t="n">
        <v>134.89</v>
      </c>
      <c r="C10" s="25" t="n">
        <v>151.08</v>
      </c>
      <c r="D10" s="25" t="n">
        <v>164.28</v>
      </c>
      <c r="E10" s="25" t="n">
        <v>186.45</v>
      </c>
      <c r="F10" s="25" t="n">
        <v>196.68</v>
      </c>
      <c r="G10" s="25" t="n">
        <v>233.27</v>
      </c>
      <c r="H10" s="4" t="n">
        <v>7</v>
      </c>
    </row>
    <row r="11">
      <c r="A11" s="28" t="inlineStr">
        <is>
          <t>Menor valor</t>
        </is>
      </c>
      <c r="B11" s="29">
        <f>MIN(B6:B10)</f>
        <v/>
      </c>
      <c r="C11" s="29">
        <f>MIN(C6:C10)</f>
        <v/>
      </c>
      <c r="D11" s="29">
        <f>MIN(D6:D10)</f>
        <v/>
      </c>
      <c r="E11" s="29">
        <f>MIN(E6:E10)</f>
        <v/>
      </c>
      <c r="F11" s="29">
        <f>MIN(F6:F10)</f>
        <v/>
      </c>
      <c r="G11" s="29">
        <f>MIN(G6:G10)</f>
        <v/>
      </c>
      <c r="H11" s="30" t="n"/>
    </row>
    <row r="12">
      <c r="A12" s="28" t="inlineStr">
        <is>
          <t>Transportadora mais barata</t>
        </is>
      </c>
      <c r="B12" s="31">
        <f>INDEX($A$6:$A$10,MATCH(MIN(B6:B10),B6:B10,0))</f>
        <v/>
      </c>
      <c r="C12" s="31">
        <f>INDEX($A$6:$A$10,MATCH(MIN(C6:C10),C6:C10,0))</f>
        <v/>
      </c>
      <c r="D12" s="31">
        <f>INDEX($A$6:$A$10,MATCH(MIN(D6:D10),D6:D10,0))</f>
        <v/>
      </c>
      <c r="E12" s="31">
        <f>INDEX($A$6:$A$10,MATCH(MIN(E6:E10),E6:E10,0))</f>
        <v/>
      </c>
      <c r="F12" s="31">
        <f>INDEX($A$6:$A$10,MATCH(MIN(F6:F10),F6:F10,0))</f>
        <v/>
      </c>
      <c r="G12" s="31">
        <f>INDEX($A$6:$A$10,MATCH(MIN(G6:G10),G6:G10,0))</f>
        <v/>
      </c>
      <c r="H12" s="32" t="n"/>
    </row>
    <row r="13">
      <c r="A13" s="28" t="inlineStr">
        <is>
          <t>Posição RAJLOG</t>
        </is>
      </c>
      <c r="B13" s="33">
        <f>(COUNTIF(B6:B10,"&lt;"&amp;B7)+1)&amp;"º de "&amp;COUNT(B6:B10)</f>
        <v/>
      </c>
      <c r="C13" s="33">
        <f>(COUNTIF(C6:C10,"&lt;"&amp;C7)+1)&amp;"º de "&amp;COUNT(C6:C10)</f>
        <v/>
      </c>
      <c r="D13" s="33">
        <f>(COUNTIF(D6:D10,"&lt;"&amp;D7)+1)&amp;"º de "&amp;COUNT(D6:D10)</f>
        <v/>
      </c>
      <c r="E13" s="33">
        <f>(COUNTIF(E6:E10,"&lt;"&amp;E7)+1)&amp;"º de "&amp;COUNT(E6:E10)</f>
        <v/>
      </c>
      <c r="F13" s="33">
        <f>(COUNTIF(F6:F10,"&lt;"&amp;F7)+1)&amp;"º de "&amp;COUNT(F6:F10)</f>
        <v/>
      </c>
      <c r="G13" s="33">
        <f>(COUNTIF(G6:G10,"&lt;"&amp;G7)+1)&amp;"º de "&amp;COUNT(G6:G10)</f>
        <v/>
      </c>
      <c r="H13" s="30" t="n"/>
    </row>
    <row r="14">
      <c r="A14" s="28" t="inlineStr">
        <is>
          <t>RAJLOG x concorrente mais barato</t>
        </is>
      </c>
      <c r="B14" s="34">
        <f>B7/MIN(B6:B6,B8:B10)-1</f>
        <v/>
      </c>
      <c r="C14" s="34">
        <f>C7/MIN(C6:C6,C8:C10)-1</f>
        <v/>
      </c>
      <c r="D14" s="34">
        <f>D7/MIN(D6:D6,D8:D10)-1</f>
        <v/>
      </c>
      <c r="E14" s="34">
        <f>E7/MIN(E6:E6,E8:E10)-1</f>
        <v/>
      </c>
      <c r="F14" s="34">
        <f>F7/MIN(F6:F6,F8:F10)-1</f>
        <v/>
      </c>
      <c r="G14" s="34">
        <f>G7/MIN(G6:G6,G8:G10)-1</f>
        <v/>
      </c>
      <c r="H14" s="30" t="n"/>
    </row>
    <row r="15">
      <c r="A15" s="28" t="inlineStr">
        <is>
          <t>RAJLOG x média das demais</t>
        </is>
      </c>
      <c r="B15" s="34">
        <f>B7/((SUM(B6:B10)-B7)/(COUNT(B6:B10)-1))-1</f>
        <v/>
      </c>
      <c r="C15" s="34">
        <f>C7/((SUM(C6:C10)-C7)/(COUNT(C6:C10)-1))-1</f>
        <v/>
      </c>
      <c r="D15" s="34">
        <f>D7/((SUM(D6:D10)-D7)/(COUNT(D6:D10)-1))-1</f>
        <v/>
      </c>
      <c r="E15" s="34">
        <f>E7/((SUM(E6:E10)-E7)/(COUNT(E6:E10)-1))-1</f>
        <v/>
      </c>
      <c r="F15" s="34">
        <f>F7/((SUM(F6:F10)-F7)/(COUNT(F6:F10)-1))-1</f>
        <v/>
      </c>
      <c r="G15" s="34">
        <f>G7/((SUM(G6:G10)-G7)/(COUNT(G6:G10)-1))-1</f>
        <v/>
      </c>
      <c r="H15" s="30" t="n"/>
    </row>
    <row r="18">
      <c r="A18" s="22" t="inlineStr">
        <is>
          <t>Caieiras - 07714-600</t>
        </is>
      </c>
      <c r="B18" s="23" t="n"/>
      <c r="C18" s="23" t="n"/>
      <c r="D18" s="23" t="n"/>
      <c r="E18" s="23" t="n"/>
      <c r="F18" s="23" t="n"/>
      <c r="G18" s="23" t="n"/>
      <c r="H18" s="23" t="n"/>
    </row>
    <row r="19">
      <c r="A19" s="24" t="inlineStr">
        <is>
          <t>Transportadora</t>
        </is>
      </c>
      <c r="B19" s="24" t="inlineStr">
        <is>
          <t>20 kg</t>
        </is>
      </c>
      <c r="C19" s="24" t="inlineStr">
        <is>
          <t>40 kg</t>
        </is>
      </c>
      <c r="D19" s="24" t="inlineStr">
        <is>
          <t>60 kg</t>
        </is>
      </c>
      <c r="E19" s="24" t="inlineStr">
        <is>
          <t>80 kg</t>
        </is>
      </c>
      <c r="F19" s="24" t="inlineStr">
        <is>
          <t>100 kg</t>
        </is>
      </c>
      <c r="G19" s="24" t="inlineStr">
        <is>
          <t>120 kg</t>
        </is>
      </c>
      <c r="H19" s="24" t="inlineStr">
        <is>
          <t>Prazo (dias)</t>
        </is>
      </c>
    </row>
    <row r="20">
      <c r="A20" s="14" t="inlineStr">
        <is>
          <t>TRANSIGA FILIAL SP</t>
        </is>
      </c>
      <c r="B20" s="25" t="n">
        <v>87.90000000000001</v>
      </c>
      <c r="C20" s="25" t="n">
        <v>119.02</v>
      </c>
      <c r="D20" s="25" t="n">
        <v>142.64</v>
      </c>
      <c r="E20" s="25" t="n">
        <v>170.92</v>
      </c>
      <c r="F20" s="25" t="n">
        <v>194.35</v>
      </c>
      <c r="G20" s="25" t="n">
        <v>235.85</v>
      </c>
      <c r="H20" s="4" t="n">
        <v>7</v>
      </c>
    </row>
    <row r="21">
      <c r="A21" s="26" t="inlineStr">
        <is>
          <t>RAJLOG</t>
        </is>
      </c>
      <c r="B21" s="27" t="n">
        <v>53.05</v>
      </c>
      <c r="C21" s="27" t="n">
        <v>81.65000000000001</v>
      </c>
      <c r="D21" s="27" t="n">
        <v>117.47</v>
      </c>
      <c r="E21" s="27" t="n">
        <v>158.41</v>
      </c>
      <c r="F21" s="27" t="n">
        <v>168.64</v>
      </c>
      <c r="G21" s="27" t="n">
        <v>221.03</v>
      </c>
      <c r="H21" s="8" t="n">
        <v>5</v>
      </c>
    </row>
    <row r="22">
      <c r="A22" s="14" t="inlineStr">
        <is>
          <t>Trans Sua Log - Standard</t>
        </is>
      </c>
      <c r="B22" s="25" t="n">
        <v>80.64</v>
      </c>
      <c r="C22" s="25" t="n">
        <v>97.81999999999999</v>
      </c>
      <c r="D22" s="25" t="n">
        <v>113.18</v>
      </c>
      <c r="E22" s="25" t="n">
        <v>133.72</v>
      </c>
      <c r="F22" s="25" t="n">
        <v>158.06</v>
      </c>
      <c r="G22" s="25" t="n">
        <v>185.63</v>
      </c>
      <c r="H22" s="4" t="n">
        <v>8</v>
      </c>
    </row>
    <row r="23">
      <c r="A23" s="14" t="inlineStr">
        <is>
          <t>Transvanio</t>
        </is>
      </c>
      <c r="B23" s="25" t="n">
        <v>155.69</v>
      </c>
      <c r="C23" s="25" t="n">
        <v>172.73</v>
      </c>
      <c r="D23" s="25" t="n">
        <v>192.16</v>
      </c>
      <c r="E23" s="25" t="n">
        <v>211.8</v>
      </c>
      <c r="F23" s="25" t="n">
        <v>231.32</v>
      </c>
      <c r="G23" s="25" t="n">
        <v>264.9</v>
      </c>
      <c r="H23" s="4" t="n">
        <v>6</v>
      </c>
    </row>
    <row r="24">
      <c r="A24" s="14" t="inlineStr">
        <is>
          <t>Trilog Express</t>
        </is>
      </c>
      <c r="B24" s="25" t="n">
        <v>134.89</v>
      </c>
      <c r="C24" s="25" t="n">
        <v>151.08</v>
      </c>
      <c r="D24" s="25" t="n">
        <v>164.28</v>
      </c>
      <c r="E24" s="25" t="n">
        <v>186.45</v>
      </c>
      <c r="F24" s="25" t="n">
        <v>196.68</v>
      </c>
      <c r="G24" s="25" t="n">
        <v>233.27</v>
      </c>
      <c r="H24" s="4" t="n">
        <v>7</v>
      </c>
    </row>
    <row r="25">
      <c r="A25" s="28" t="inlineStr">
        <is>
          <t>Menor valor</t>
        </is>
      </c>
      <c r="B25" s="29">
        <f>MIN(B20:B24)</f>
        <v/>
      </c>
      <c r="C25" s="29">
        <f>MIN(C20:C24)</f>
        <v/>
      </c>
      <c r="D25" s="29">
        <f>MIN(D20:D24)</f>
        <v/>
      </c>
      <c r="E25" s="29">
        <f>MIN(E20:E24)</f>
        <v/>
      </c>
      <c r="F25" s="29">
        <f>MIN(F20:F24)</f>
        <v/>
      </c>
      <c r="G25" s="29">
        <f>MIN(G20:G24)</f>
        <v/>
      </c>
      <c r="H25" s="30" t="n"/>
    </row>
    <row r="26">
      <c r="A26" s="28" t="inlineStr">
        <is>
          <t>Transportadora mais barata</t>
        </is>
      </c>
      <c r="B26" s="31">
        <f>INDEX($A$20:$A$24,MATCH(MIN(B20:B24),B20:B24,0))</f>
        <v/>
      </c>
      <c r="C26" s="31">
        <f>INDEX($A$20:$A$24,MATCH(MIN(C20:C24),C20:C24,0))</f>
        <v/>
      </c>
      <c r="D26" s="31">
        <f>INDEX($A$20:$A$24,MATCH(MIN(D20:D24),D20:D24,0))</f>
        <v/>
      </c>
      <c r="E26" s="31">
        <f>INDEX($A$20:$A$24,MATCH(MIN(E20:E24),E20:E24,0))</f>
        <v/>
      </c>
      <c r="F26" s="31">
        <f>INDEX($A$20:$A$24,MATCH(MIN(F20:F24),F20:F24,0))</f>
        <v/>
      </c>
      <c r="G26" s="31">
        <f>INDEX($A$20:$A$24,MATCH(MIN(G20:G24),G20:G24,0))</f>
        <v/>
      </c>
      <c r="H26" s="32" t="n"/>
    </row>
    <row r="27">
      <c r="A27" s="28" t="inlineStr">
        <is>
          <t>Posição RAJLOG</t>
        </is>
      </c>
      <c r="B27" s="33">
        <f>(COUNTIF(B20:B24,"&lt;"&amp;B21)+1)&amp;"º de "&amp;COUNT(B20:B24)</f>
        <v/>
      </c>
      <c r="C27" s="33">
        <f>(COUNTIF(C20:C24,"&lt;"&amp;C21)+1)&amp;"º de "&amp;COUNT(C20:C24)</f>
        <v/>
      </c>
      <c r="D27" s="33">
        <f>(COUNTIF(D20:D24,"&lt;"&amp;D21)+1)&amp;"º de "&amp;COUNT(D20:D24)</f>
        <v/>
      </c>
      <c r="E27" s="33">
        <f>(COUNTIF(E20:E24,"&lt;"&amp;E21)+1)&amp;"º de "&amp;COUNT(E20:E24)</f>
        <v/>
      </c>
      <c r="F27" s="33">
        <f>(COUNTIF(F20:F24,"&lt;"&amp;F21)+1)&amp;"º de "&amp;COUNT(F20:F24)</f>
        <v/>
      </c>
      <c r="G27" s="33">
        <f>(COUNTIF(G20:G24,"&lt;"&amp;G21)+1)&amp;"º de "&amp;COUNT(G20:G24)</f>
        <v/>
      </c>
      <c r="H27" s="30" t="n"/>
    </row>
    <row r="28">
      <c r="A28" s="28" t="inlineStr">
        <is>
          <t>RAJLOG x concorrente mais barato</t>
        </is>
      </c>
      <c r="B28" s="34">
        <f>B21/MIN(B20:B20,B22:B24)-1</f>
        <v/>
      </c>
      <c r="C28" s="34">
        <f>C21/MIN(C20:C20,C22:C24)-1</f>
        <v/>
      </c>
      <c r="D28" s="34">
        <f>D21/MIN(D20:D20,D22:D24)-1</f>
        <v/>
      </c>
      <c r="E28" s="34">
        <f>E21/MIN(E20:E20,E22:E24)-1</f>
        <v/>
      </c>
      <c r="F28" s="34">
        <f>F21/MIN(F20:F20,F22:F24)-1</f>
        <v/>
      </c>
      <c r="G28" s="34">
        <f>G21/MIN(G20:G20,G22:G24)-1</f>
        <v/>
      </c>
      <c r="H28" s="30" t="n"/>
    </row>
    <row r="29">
      <c r="A29" s="28" t="inlineStr">
        <is>
          <t>RAJLOG x média das demais</t>
        </is>
      </c>
      <c r="B29" s="34">
        <f>B21/((SUM(B20:B24)-B21)/(COUNT(B20:B24)-1))-1</f>
        <v/>
      </c>
      <c r="C29" s="34">
        <f>C21/((SUM(C20:C24)-C21)/(COUNT(C20:C24)-1))-1</f>
        <v/>
      </c>
      <c r="D29" s="34">
        <f>D21/((SUM(D20:D24)-D21)/(COUNT(D20:D24)-1))-1</f>
        <v/>
      </c>
      <c r="E29" s="34">
        <f>E21/((SUM(E20:E24)-E21)/(COUNT(E20:E24)-1))-1</f>
        <v/>
      </c>
      <c r="F29" s="34">
        <f>F21/((SUM(F20:F24)-F21)/(COUNT(F20:F24)-1))-1</f>
        <v/>
      </c>
      <c r="G29" s="34">
        <f>G21/((SUM(G20:G24)-G21)/(COUNT(G20:G24)-1))-1</f>
        <v/>
      </c>
      <c r="H29" s="30" t="n"/>
    </row>
    <row r="32">
      <c r="A32" s="22" t="inlineStr">
        <is>
          <t>Cajamar - 07786-425</t>
        </is>
      </c>
      <c r="B32" s="23" t="n"/>
      <c r="C32" s="23" t="n"/>
      <c r="D32" s="23" t="n"/>
      <c r="E32" s="23" t="n"/>
      <c r="F32" s="23" t="n"/>
      <c r="G32" s="23" t="n"/>
      <c r="H32" s="23" t="n"/>
    </row>
    <row r="33">
      <c r="A33" s="24" t="inlineStr">
        <is>
          <t>Transportadora</t>
        </is>
      </c>
      <c r="B33" s="24" t="inlineStr">
        <is>
          <t>20 kg</t>
        </is>
      </c>
      <c r="C33" s="24" t="inlineStr">
        <is>
          <t>40 kg</t>
        </is>
      </c>
      <c r="D33" s="24" t="inlineStr">
        <is>
          <t>60 kg</t>
        </is>
      </c>
      <c r="E33" s="24" t="inlineStr">
        <is>
          <t>80 kg</t>
        </is>
      </c>
      <c r="F33" s="24" t="inlineStr">
        <is>
          <t>100 kg</t>
        </is>
      </c>
      <c r="G33" s="24" t="inlineStr">
        <is>
          <t>120 kg</t>
        </is>
      </c>
      <c r="H33" s="24" t="inlineStr">
        <is>
          <t>Prazo (dias)</t>
        </is>
      </c>
    </row>
    <row r="34">
      <c r="A34" s="14" t="inlineStr">
        <is>
          <t>TRANSIGA FILIAL SP</t>
        </is>
      </c>
      <c r="B34" s="25" t="n">
        <v>87.90000000000001</v>
      </c>
      <c r="C34" s="25" t="n">
        <v>109.6</v>
      </c>
      <c r="D34" s="25" t="n">
        <v>138.81</v>
      </c>
      <c r="E34" s="25" t="n">
        <v>170.43</v>
      </c>
      <c r="F34" s="25" t="n">
        <v>191.42</v>
      </c>
      <c r="G34" s="25" t="n">
        <v>240.4</v>
      </c>
      <c r="H34" s="4" t="n">
        <v>7</v>
      </c>
    </row>
    <row r="35">
      <c r="A35" s="26" t="inlineStr">
        <is>
          <t>RAJLOG</t>
        </is>
      </c>
      <c r="B35" s="27" t="n">
        <v>53.05</v>
      </c>
      <c r="C35" s="27" t="n">
        <v>81.65000000000001</v>
      </c>
      <c r="D35" s="27" t="n">
        <v>117.47</v>
      </c>
      <c r="E35" s="27" t="n">
        <v>158.41</v>
      </c>
      <c r="F35" s="27" t="n">
        <v>168.64</v>
      </c>
      <c r="G35" s="27" t="n">
        <v>221.03</v>
      </c>
      <c r="H35" s="8" t="n">
        <v>5</v>
      </c>
    </row>
    <row r="36">
      <c r="A36" s="14" t="inlineStr">
        <is>
          <t>Trans Sua Log - Standard</t>
        </is>
      </c>
      <c r="B36" s="25" t="n">
        <v>80.64</v>
      </c>
      <c r="C36" s="25" t="n">
        <v>97.81999999999999</v>
      </c>
      <c r="D36" s="25" t="n">
        <v>113.18</v>
      </c>
      <c r="E36" s="25" t="n">
        <v>133.72</v>
      </c>
      <c r="F36" s="25" t="n">
        <v>158.06</v>
      </c>
      <c r="G36" s="25" t="n">
        <v>185.63</v>
      </c>
      <c r="H36" s="4" t="n">
        <v>8</v>
      </c>
    </row>
    <row r="37">
      <c r="A37" s="14" t="inlineStr">
        <is>
          <t>Transvanio</t>
        </is>
      </c>
      <c r="B37" s="25" t="n">
        <v>144.33</v>
      </c>
      <c r="C37" s="25" t="n">
        <v>161.36</v>
      </c>
      <c r="D37" s="25" t="n">
        <v>180.8</v>
      </c>
      <c r="E37" s="25" t="n">
        <v>200.43</v>
      </c>
      <c r="F37" s="25" t="n">
        <v>219.95</v>
      </c>
      <c r="G37" s="25" t="n">
        <v>253.53</v>
      </c>
      <c r="H37" s="4" t="n">
        <v>6</v>
      </c>
    </row>
    <row r="38">
      <c r="A38" s="14" t="inlineStr">
        <is>
          <t>Trilog Express</t>
        </is>
      </c>
      <c r="B38" s="25" t="n">
        <v>134.89</v>
      </c>
      <c r="C38" s="25" t="n">
        <v>151.08</v>
      </c>
      <c r="D38" s="25" t="n">
        <v>164.28</v>
      </c>
      <c r="E38" s="25" t="n">
        <v>186.45</v>
      </c>
      <c r="F38" s="25" t="n">
        <v>196.68</v>
      </c>
      <c r="G38" s="25" t="n">
        <v>233.27</v>
      </c>
      <c r="H38" s="4" t="n">
        <v>7</v>
      </c>
    </row>
    <row r="39">
      <c r="A39" s="28" t="inlineStr">
        <is>
          <t>Menor valor</t>
        </is>
      </c>
      <c r="B39" s="29">
        <f>MIN(B34:B38)</f>
        <v/>
      </c>
      <c r="C39" s="29">
        <f>MIN(C34:C38)</f>
        <v/>
      </c>
      <c r="D39" s="29">
        <f>MIN(D34:D38)</f>
        <v/>
      </c>
      <c r="E39" s="29">
        <f>MIN(E34:E38)</f>
        <v/>
      </c>
      <c r="F39" s="29">
        <f>MIN(F34:F38)</f>
        <v/>
      </c>
      <c r="G39" s="29">
        <f>MIN(G34:G38)</f>
        <v/>
      </c>
      <c r="H39" s="30" t="n"/>
    </row>
    <row r="40">
      <c r="A40" s="28" t="inlineStr">
        <is>
          <t>Transportadora mais barata</t>
        </is>
      </c>
      <c r="B40" s="31">
        <f>INDEX($A$34:$A$38,MATCH(MIN(B34:B38),B34:B38,0))</f>
        <v/>
      </c>
      <c r="C40" s="31">
        <f>INDEX($A$34:$A$38,MATCH(MIN(C34:C38),C34:C38,0))</f>
        <v/>
      </c>
      <c r="D40" s="31">
        <f>INDEX($A$34:$A$38,MATCH(MIN(D34:D38),D34:D38,0))</f>
        <v/>
      </c>
      <c r="E40" s="31">
        <f>INDEX($A$34:$A$38,MATCH(MIN(E34:E38),E34:E38,0))</f>
        <v/>
      </c>
      <c r="F40" s="31">
        <f>INDEX($A$34:$A$38,MATCH(MIN(F34:F38),F34:F38,0))</f>
        <v/>
      </c>
      <c r="G40" s="31">
        <f>INDEX($A$34:$A$38,MATCH(MIN(G34:G38),G34:G38,0))</f>
        <v/>
      </c>
      <c r="H40" s="32" t="n"/>
    </row>
    <row r="41">
      <c r="A41" s="28" t="inlineStr">
        <is>
          <t>Posição RAJLOG</t>
        </is>
      </c>
      <c r="B41" s="33">
        <f>(COUNTIF(B34:B38,"&lt;"&amp;B35)+1)&amp;"º de "&amp;COUNT(B34:B38)</f>
        <v/>
      </c>
      <c r="C41" s="33">
        <f>(COUNTIF(C34:C38,"&lt;"&amp;C35)+1)&amp;"º de "&amp;COUNT(C34:C38)</f>
        <v/>
      </c>
      <c r="D41" s="33">
        <f>(COUNTIF(D34:D38,"&lt;"&amp;D35)+1)&amp;"º de "&amp;COUNT(D34:D38)</f>
        <v/>
      </c>
      <c r="E41" s="33">
        <f>(COUNTIF(E34:E38,"&lt;"&amp;E35)+1)&amp;"º de "&amp;COUNT(E34:E38)</f>
        <v/>
      </c>
      <c r="F41" s="33">
        <f>(COUNTIF(F34:F38,"&lt;"&amp;F35)+1)&amp;"º de "&amp;COUNT(F34:F38)</f>
        <v/>
      </c>
      <c r="G41" s="33">
        <f>(COUNTIF(G34:G38,"&lt;"&amp;G35)+1)&amp;"º de "&amp;COUNT(G34:G38)</f>
        <v/>
      </c>
      <c r="H41" s="30" t="n"/>
    </row>
    <row r="42">
      <c r="A42" s="28" t="inlineStr">
        <is>
          <t>RAJLOG x concorrente mais barato</t>
        </is>
      </c>
      <c r="B42" s="34">
        <f>B35/MIN(B34:B34,B36:B38)-1</f>
        <v/>
      </c>
      <c r="C42" s="34">
        <f>C35/MIN(C34:C34,C36:C38)-1</f>
        <v/>
      </c>
      <c r="D42" s="34">
        <f>D35/MIN(D34:D34,D36:D38)-1</f>
        <v/>
      </c>
      <c r="E42" s="34">
        <f>E35/MIN(E34:E34,E36:E38)-1</f>
        <v/>
      </c>
      <c r="F42" s="34">
        <f>F35/MIN(F34:F34,F36:F38)-1</f>
        <v/>
      </c>
      <c r="G42" s="34">
        <f>G35/MIN(G34:G34,G36:G38)-1</f>
        <v/>
      </c>
      <c r="H42" s="30" t="n"/>
    </row>
    <row r="43">
      <c r="A43" s="28" t="inlineStr">
        <is>
          <t>RAJLOG x média das demais</t>
        </is>
      </c>
      <c r="B43" s="34">
        <f>B35/((SUM(B34:B38)-B35)/(COUNT(B34:B38)-1))-1</f>
        <v/>
      </c>
      <c r="C43" s="34">
        <f>C35/((SUM(C34:C38)-C35)/(COUNT(C34:C38)-1))-1</f>
        <v/>
      </c>
      <c r="D43" s="34">
        <f>D35/((SUM(D34:D38)-D35)/(COUNT(D34:D38)-1))-1</f>
        <v/>
      </c>
      <c r="E43" s="34">
        <f>E35/((SUM(E34:E38)-E35)/(COUNT(E34:E38)-1))-1</f>
        <v/>
      </c>
      <c r="F43" s="34">
        <f>F35/((SUM(F34:F38)-F35)/(COUNT(F34:F38)-1))-1</f>
        <v/>
      </c>
      <c r="G43" s="34">
        <f>G35/((SUM(G34:G38)-G35)/(COUNT(G34:G38)-1))-1</f>
        <v/>
      </c>
      <c r="H43" s="30" t="n"/>
    </row>
    <row r="46">
      <c r="A46" s="22" t="inlineStr">
        <is>
          <t>Carapicuíba - 06395-360</t>
        </is>
      </c>
      <c r="B46" s="23" t="n"/>
      <c r="C46" s="23" t="n"/>
      <c r="D46" s="23" t="n"/>
      <c r="E46" s="23" t="n"/>
      <c r="F46" s="23" t="n"/>
      <c r="G46" s="23" t="n"/>
      <c r="H46" s="23" t="n"/>
    </row>
    <row r="47">
      <c r="A47" s="24" t="inlineStr">
        <is>
          <t>Transportadora</t>
        </is>
      </c>
      <c r="B47" s="24" t="inlineStr">
        <is>
          <t>20 kg</t>
        </is>
      </c>
      <c r="C47" s="24" t="inlineStr">
        <is>
          <t>40 kg</t>
        </is>
      </c>
      <c r="D47" s="24" t="inlineStr">
        <is>
          <t>60 kg</t>
        </is>
      </c>
      <c r="E47" s="24" t="inlineStr">
        <is>
          <t>80 kg</t>
        </is>
      </c>
      <c r="F47" s="24" t="inlineStr">
        <is>
          <t>100 kg</t>
        </is>
      </c>
      <c r="G47" s="24" t="inlineStr">
        <is>
          <t>120 kg</t>
        </is>
      </c>
      <c r="H47" s="24" t="inlineStr">
        <is>
          <t>Prazo (dias)</t>
        </is>
      </c>
    </row>
    <row r="48">
      <c r="A48" s="14" t="inlineStr">
        <is>
          <t>TRANSIGA FILIAL SP</t>
        </is>
      </c>
      <c r="B48" s="25" t="n">
        <v>87.90000000000001</v>
      </c>
      <c r="C48" s="25" t="n">
        <v>109.6</v>
      </c>
      <c r="D48" s="25" t="n">
        <v>138.81</v>
      </c>
      <c r="E48" s="25" t="n">
        <v>170.43</v>
      </c>
      <c r="F48" s="25" t="n">
        <v>191.42</v>
      </c>
      <c r="G48" s="25" t="n">
        <v>240.4</v>
      </c>
      <c r="H48" s="4" t="n">
        <v>7</v>
      </c>
    </row>
    <row r="49">
      <c r="A49" s="26" t="inlineStr">
        <is>
          <t>RAJLOG</t>
        </is>
      </c>
      <c r="B49" s="27" t="n">
        <v>53.05</v>
      </c>
      <c r="C49" s="27" t="n">
        <v>81.65000000000001</v>
      </c>
      <c r="D49" s="27" t="n">
        <v>117.47</v>
      </c>
      <c r="E49" s="27" t="n">
        <v>158.41</v>
      </c>
      <c r="F49" s="27" t="n">
        <v>168.64</v>
      </c>
      <c r="G49" s="27" t="n">
        <v>221.03</v>
      </c>
      <c r="H49" s="8" t="n">
        <v>5</v>
      </c>
    </row>
    <row r="50">
      <c r="A50" s="14" t="inlineStr">
        <is>
          <t>Trans Sua Log - Standard</t>
        </is>
      </c>
      <c r="B50" s="25" t="n">
        <v>80.64</v>
      </c>
      <c r="C50" s="25" t="n">
        <v>97.81999999999999</v>
      </c>
      <c r="D50" s="25" t="n">
        <v>113.18</v>
      </c>
      <c r="E50" s="25" t="n">
        <v>133.72</v>
      </c>
      <c r="F50" s="25" t="n">
        <v>158.06</v>
      </c>
      <c r="G50" s="25" t="n">
        <v>185.63</v>
      </c>
      <c r="H50" s="4" t="n">
        <v>8</v>
      </c>
    </row>
    <row r="51">
      <c r="A51" s="14" t="inlineStr">
        <is>
          <t>Transvanio</t>
        </is>
      </c>
      <c r="B51" s="25" t="n">
        <v>85.23999999999999</v>
      </c>
      <c r="C51" s="25" t="n">
        <v>104.55</v>
      </c>
      <c r="D51" s="25" t="n">
        <v>123.98</v>
      </c>
      <c r="E51" s="25" t="n">
        <v>143.61</v>
      </c>
      <c r="F51" s="25" t="n">
        <v>163.14</v>
      </c>
      <c r="G51" s="25" t="n">
        <v>196.72</v>
      </c>
      <c r="H51" s="4" t="n">
        <v>4</v>
      </c>
    </row>
    <row r="52">
      <c r="A52" s="14" t="inlineStr">
        <is>
          <t>VM TRANSPORTES</t>
        </is>
      </c>
      <c r="B52" s="25" t="n">
        <v>77.33</v>
      </c>
      <c r="C52" s="25" t="n">
        <v>97.7</v>
      </c>
      <c r="D52" s="25" t="n">
        <v>142.07</v>
      </c>
      <c r="E52" s="25" t="n">
        <v>156.45</v>
      </c>
      <c r="F52" s="25" t="n">
        <v>170.84</v>
      </c>
      <c r="G52" s="25" t="n">
        <v>206.81</v>
      </c>
      <c r="H52" s="4" t="n">
        <v>8</v>
      </c>
    </row>
    <row r="53">
      <c r="A53" s="14" t="inlineStr">
        <is>
          <t>Zelog Standard</t>
        </is>
      </c>
      <c r="B53" s="25" t="n">
        <v>80.78</v>
      </c>
      <c r="C53" s="25" t="n">
        <v>94.84</v>
      </c>
      <c r="D53" s="25" t="n">
        <v>121.74</v>
      </c>
      <c r="E53" s="25" t="n">
        <v>148.61</v>
      </c>
      <c r="F53" s="25" t="n">
        <v>158.84</v>
      </c>
      <c r="G53" s="25" t="n">
        <v>179.53</v>
      </c>
      <c r="H53" s="4" t="n">
        <v>4</v>
      </c>
    </row>
    <row r="54">
      <c r="A54" s="14" t="inlineStr">
        <is>
          <t>Trilog Express</t>
        </is>
      </c>
      <c r="B54" s="25" t="n">
        <v>134.89</v>
      </c>
      <c r="C54" s="25" t="n">
        <v>151.08</v>
      </c>
      <c r="D54" s="25" t="n">
        <v>164.28</v>
      </c>
      <c r="E54" s="25" t="n">
        <v>186.45</v>
      </c>
      <c r="F54" s="25" t="n">
        <v>196.68</v>
      </c>
      <c r="G54" s="25" t="n">
        <v>233.27</v>
      </c>
      <c r="H54" s="4" t="n">
        <v>7</v>
      </c>
    </row>
    <row r="55">
      <c r="A55" s="28" t="inlineStr">
        <is>
          <t>Menor valor</t>
        </is>
      </c>
      <c r="B55" s="29">
        <f>MIN(B48:B54)</f>
        <v/>
      </c>
      <c r="C55" s="29">
        <f>MIN(C48:C54)</f>
        <v/>
      </c>
      <c r="D55" s="29">
        <f>MIN(D48:D54)</f>
        <v/>
      </c>
      <c r="E55" s="29">
        <f>MIN(E48:E54)</f>
        <v/>
      </c>
      <c r="F55" s="29">
        <f>MIN(F48:F54)</f>
        <v/>
      </c>
      <c r="G55" s="29">
        <f>MIN(G48:G54)</f>
        <v/>
      </c>
      <c r="H55" s="30" t="n"/>
    </row>
    <row r="56">
      <c r="A56" s="28" t="inlineStr">
        <is>
          <t>Transportadora mais barata</t>
        </is>
      </c>
      <c r="B56" s="31">
        <f>INDEX($A$48:$A$54,MATCH(MIN(B48:B54),B48:B54,0))</f>
        <v/>
      </c>
      <c r="C56" s="31">
        <f>INDEX($A$48:$A$54,MATCH(MIN(C48:C54),C48:C54,0))</f>
        <v/>
      </c>
      <c r="D56" s="31">
        <f>INDEX($A$48:$A$54,MATCH(MIN(D48:D54),D48:D54,0))</f>
        <v/>
      </c>
      <c r="E56" s="31">
        <f>INDEX($A$48:$A$54,MATCH(MIN(E48:E54),E48:E54,0))</f>
        <v/>
      </c>
      <c r="F56" s="31">
        <f>INDEX($A$48:$A$54,MATCH(MIN(F48:F54),F48:F54,0))</f>
        <v/>
      </c>
      <c r="G56" s="31">
        <f>INDEX($A$48:$A$54,MATCH(MIN(G48:G54),G48:G54,0))</f>
        <v/>
      </c>
      <c r="H56" s="32" t="n"/>
    </row>
    <row r="57">
      <c r="A57" s="28" t="inlineStr">
        <is>
          <t>Posição RAJLOG</t>
        </is>
      </c>
      <c r="B57" s="33">
        <f>(COUNTIF(B48:B54,"&lt;"&amp;B49)+1)&amp;"º de "&amp;COUNT(B48:B54)</f>
        <v/>
      </c>
      <c r="C57" s="33">
        <f>(COUNTIF(C48:C54,"&lt;"&amp;C49)+1)&amp;"º de "&amp;COUNT(C48:C54)</f>
        <v/>
      </c>
      <c r="D57" s="33">
        <f>(COUNTIF(D48:D54,"&lt;"&amp;D49)+1)&amp;"º de "&amp;COUNT(D48:D54)</f>
        <v/>
      </c>
      <c r="E57" s="33">
        <f>(COUNTIF(E48:E54,"&lt;"&amp;E49)+1)&amp;"º de "&amp;COUNT(E48:E54)</f>
        <v/>
      </c>
      <c r="F57" s="33">
        <f>(COUNTIF(F48:F54,"&lt;"&amp;F49)+1)&amp;"º de "&amp;COUNT(F48:F54)</f>
        <v/>
      </c>
      <c r="G57" s="33">
        <f>(COUNTIF(G48:G54,"&lt;"&amp;G49)+1)&amp;"º de "&amp;COUNT(G48:G54)</f>
        <v/>
      </c>
      <c r="H57" s="30" t="n"/>
    </row>
    <row r="58">
      <c r="A58" s="28" t="inlineStr">
        <is>
          <t>RAJLOG x concorrente mais barato</t>
        </is>
      </c>
      <c r="B58" s="34">
        <f>B49/MIN(B48:B48,B50:B54)-1</f>
        <v/>
      </c>
      <c r="C58" s="34">
        <f>C49/MIN(C48:C48,C50:C54)-1</f>
        <v/>
      </c>
      <c r="D58" s="34">
        <f>D49/MIN(D48:D48,D50:D54)-1</f>
        <v/>
      </c>
      <c r="E58" s="34">
        <f>E49/MIN(E48:E48,E50:E54)-1</f>
        <v/>
      </c>
      <c r="F58" s="34">
        <f>F49/MIN(F48:F48,F50:F54)-1</f>
        <v/>
      </c>
      <c r="G58" s="34">
        <f>G49/MIN(G48:G48,G50:G54)-1</f>
        <v/>
      </c>
      <c r="H58" s="30" t="n"/>
    </row>
    <row r="59">
      <c r="A59" s="28" t="inlineStr">
        <is>
          <t>RAJLOG x média das demais</t>
        </is>
      </c>
      <c r="B59" s="34">
        <f>B49/((SUM(B48:B54)-B49)/(COUNT(B48:B54)-1))-1</f>
        <v/>
      </c>
      <c r="C59" s="34">
        <f>C49/((SUM(C48:C54)-C49)/(COUNT(C48:C54)-1))-1</f>
        <v/>
      </c>
      <c r="D59" s="34">
        <f>D49/((SUM(D48:D54)-D49)/(COUNT(D48:D54)-1))-1</f>
        <v/>
      </c>
      <c r="E59" s="34">
        <f>E49/((SUM(E48:E54)-E49)/(COUNT(E48:E54)-1))-1</f>
        <v/>
      </c>
      <c r="F59" s="34">
        <f>F49/((SUM(F48:F54)-F49)/(COUNT(F48:F54)-1))-1</f>
        <v/>
      </c>
      <c r="G59" s="34">
        <f>G49/((SUM(G48:G54)-G49)/(COUNT(G48:G54)-1))-1</f>
        <v/>
      </c>
      <c r="H59" s="30" t="n"/>
    </row>
    <row r="62">
      <c r="A62" s="22" t="inlineStr">
        <is>
          <t>Cotia - 06727-185</t>
        </is>
      </c>
      <c r="B62" s="23" t="n"/>
      <c r="C62" s="23" t="n"/>
      <c r="D62" s="23" t="n"/>
      <c r="E62" s="23" t="n"/>
      <c r="F62" s="23" t="n"/>
      <c r="G62" s="23" t="n"/>
      <c r="H62" s="23" t="n"/>
    </row>
    <row r="63">
      <c r="A63" s="24" t="inlineStr">
        <is>
          <t>Transportadora</t>
        </is>
      </c>
      <c r="B63" s="24" t="inlineStr">
        <is>
          <t>20 kg</t>
        </is>
      </c>
      <c r="C63" s="24" t="inlineStr">
        <is>
          <t>40 kg</t>
        </is>
      </c>
      <c r="D63" s="24" t="inlineStr">
        <is>
          <t>60 kg</t>
        </is>
      </c>
      <c r="E63" s="24" t="inlineStr">
        <is>
          <t>80 kg</t>
        </is>
      </c>
      <c r="F63" s="24" t="inlineStr">
        <is>
          <t>100 kg</t>
        </is>
      </c>
      <c r="G63" s="24" t="inlineStr">
        <is>
          <t>120 kg</t>
        </is>
      </c>
      <c r="H63" s="24" t="inlineStr">
        <is>
          <t>Prazo (dias)</t>
        </is>
      </c>
    </row>
    <row r="64">
      <c r="A64" s="14" t="inlineStr">
        <is>
          <t>TRANSIGA FILIAL SP</t>
        </is>
      </c>
      <c r="B64" s="25" t="n">
        <v>87.90000000000001</v>
      </c>
      <c r="C64" s="25" t="n">
        <v>109.6</v>
      </c>
      <c r="D64" s="25" t="n">
        <v>138.81</v>
      </c>
      <c r="E64" s="25" t="n">
        <v>170.43</v>
      </c>
      <c r="F64" s="25" t="n">
        <v>191.42</v>
      </c>
      <c r="G64" s="25" t="n">
        <v>240.4</v>
      </c>
      <c r="H64" s="4" t="n">
        <v>7</v>
      </c>
    </row>
    <row r="65">
      <c r="A65" s="26" t="inlineStr">
        <is>
          <t>RAJLOG</t>
        </is>
      </c>
      <c r="B65" s="27" t="n">
        <v>53.05</v>
      </c>
      <c r="C65" s="27" t="n">
        <v>81.65000000000001</v>
      </c>
      <c r="D65" s="27" t="n">
        <v>117.47</v>
      </c>
      <c r="E65" s="27" t="n">
        <v>158.41</v>
      </c>
      <c r="F65" s="27" t="n">
        <v>168.64</v>
      </c>
      <c r="G65" s="27" t="n">
        <v>221.03</v>
      </c>
      <c r="H65" s="8" t="n">
        <v>5</v>
      </c>
    </row>
    <row r="66">
      <c r="A66" s="14" t="inlineStr">
        <is>
          <t>Trans Sua Log - Standard</t>
        </is>
      </c>
      <c r="B66" s="25" t="n">
        <v>80.64</v>
      </c>
      <c r="C66" s="25" t="n">
        <v>97.81999999999999</v>
      </c>
      <c r="D66" s="25" t="n">
        <v>113.18</v>
      </c>
      <c r="E66" s="25" t="n">
        <v>133.72</v>
      </c>
      <c r="F66" s="25" t="n">
        <v>158.06</v>
      </c>
      <c r="G66" s="25" t="n">
        <v>185.63</v>
      </c>
      <c r="H66" s="4" t="n">
        <v>8</v>
      </c>
    </row>
    <row r="67">
      <c r="A67" s="14" t="inlineStr">
        <is>
          <t>Transvanio</t>
        </is>
      </c>
      <c r="B67" s="25" t="n">
        <v>144.33</v>
      </c>
      <c r="C67" s="25" t="n">
        <v>161.36</v>
      </c>
      <c r="D67" s="25" t="n">
        <v>180.8</v>
      </c>
      <c r="E67" s="25" t="n">
        <v>200.43</v>
      </c>
      <c r="F67" s="25" t="n">
        <v>219.95</v>
      </c>
      <c r="G67" s="25" t="n">
        <v>253.53</v>
      </c>
      <c r="H67" s="4" t="n">
        <v>6</v>
      </c>
    </row>
    <row r="68">
      <c r="A68" s="14" t="inlineStr">
        <is>
          <t>VM TRANSPORTES</t>
        </is>
      </c>
      <c r="B68" s="25" t="n">
        <v>77.33</v>
      </c>
      <c r="C68" s="25" t="n">
        <v>97.7</v>
      </c>
      <c r="D68" s="25" t="n">
        <v>142.07</v>
      </c>
      <c r="E68" s="25" t="n">
        <v>156.45</v>
      </c>
      <c r="F68" s="25" t="n">
        <v>170.84</v>
      </c>
      <c r="G68" s="25" t="n">
        <v>206.81</v>
      </c>
      <c r="H68" s="4" t="n">
        <v>8</v>
      </c>
    </row>
    <row r="69">
      <c r="A69" s="14" t="inlineStr">
        <is>
          <t>Trilog Express</t>
        </is>
      </c>
      <c r="B69" s="25" t="n">
        <v>134.89</v>
      </c>
      <c r="C69" s="25" t="n">
        <v>151.08</v>
      </c>
      <c r="D69" s="25" t="n">
        <v>164.28</v>
      </c>
      <c r="E69" s="25" t="n">
        <v>186.45</v>
      </c>
      <c r="F69" s="25" t="n">
        <v>196.68</v>
      </c>
      <c r="G69" s="25" t="n">
        <v>233.27</v>
      </c>
      <c r="H69" s="4" t="n">
        <v>7</v>
      </c>
    </row>
    <row r="70">
      <c r="A70" s="28" t="inlineStr">
        <is>
          <t>Menor valor</t>
        </is>
      </c>
      <c r="B70" s="29">
        <f>MIN(B64:B69)</f>
        <v/>
      </c>
      <c r="C70" s="29">
        <f>MIN(C64:C69)</f>
        <v/>
      </c>
      <c r="D70" s="29">
        <f>MIN(D64:D69)</f>
        <v/>
      </c>
      <c r="E70" s="29">
        <f>MIN(E64:E69)</f>
        <v/>
      </c>
      <c r="F70" s="29">
        <f>MIN(F64:F69)</f>
        <v/>
      </c>
      <c r="G70" s="29">
        <f>MIN(G64:G69)</f>
        <v/>
      </c>
      <c r="H70" s="30" t="n"/>
    </row>
    <row r="71">
      <c r="A71" s="28" t="inlineStr">
        <is>
          <t>Transportadora mais barata</t>
        </is>
      </c>
      <c r="B71" s="31">
        <f>INDEX($A$64:$A$69,MATCH(MIN(B64:B69),B64:B69,0))</f>
        <v/>
      </c>
      <c r="C71" s="31">
        <f>INDEX($A$64:$A$69,MATCH(MIN(C64:C69),C64:C69,0))</f>
        <v/>
      </c>
      <c r="D71" s="31">
        <f>INDEX($A$64:$A$69,MATCH(MIN(D64:D69),D64:D69,0))</f>
        <v/>
      </c>
      <c r="E71" s="31">
        <f>INDEX($A$64:$A$69,MATCH(MIN(E64:E69),E64:E69,0))</f>
        <v/>
      </c>
      <c r="F71" s="31">
        <f>INDEX($A$64:$A$69,MATCH(MIN(F64:F69),F64:F69,0))</f>
        <v/>
      </c>
      <c r="G71" s="31">
        <f>INDEX($A$64:$A$69,MATCH(MIN(G64:G69),G64:G69,0))</f>
        <v/>
      </c>
      <c r="H71" s="32" t="n"/>
    </row>
    <row r="72">
      <c r="A72" s="28" t="inlineStr">
        <is>
          <t>Posição RAJLOG</t>
        </is>
      </c>
      <c r="B72" s="33">
        <f>(COUNTIF(B64:B69,"&lt;"&amp;B65)+1)&amp;"º de "&amp;COUNT(B64:B69)</f>
        <v/>
      </c>
      <c r="C72" s="33">
        <f>(COUNTIF(C64:C69,"&lt;"&amp;C65)+1)&amp;"º de "&amp;COUNT(C64:C69)</f>
        <v/>
      </c>
      <c r="D72" s="33">
        <f>(COUNTIF(D64:D69,"&lt;"&amp;D65)+1)&amp;"º de "&amp;COUNT(D64:D69)</f>
        <v/>
      </c>
      <c r="E72" s="33">
        <f>(COUNTIF(E64:E69,"&lt;"&amp;E65)+1)&amp;"º de "&amp;COUNT(E64:E69)</f>
        <v/>
      </c>
      <c r="F72" s="33">
        <f>(COUNTIF(F64:F69,"&lt;"&amp;F65)+1)&amp;"º de "&amp;COUNT(F64:F69)</f>
        <v/>
      </c>
      <c r="G72" s="33">
        <f>(COUNTIF(G64:G69,"&lt;"&amp;G65)+1)&amp;"º de "&amp;COUNT(G64:G69)</f>
        <v/>
      </c>
      <c r="H72" s="30" t="n"/>
    </row>
    <row r="73">
      <c r="A73" s="28" t="inlineStr">
        <is>
          <t>RAJLOG x concorrente mais barato</t>
        </is>
      </c>
      <c r="B73" s="34">
        <f>B65/MIN(B64:B64,B66:B69)-1</f>
        <v/>
      </c>
      <c r="C73" s="34">
        <f>C65/MIN(C64:C64,C66:C69)-1</f>
        <v/>
      </c>
      <c r="D73" s="34">
        <f>D65/MIN(D64:D64,D66:D69)-1</f>
        <v/>
      </c>
      <c r="E73" s="34">
        <f>E65/MIN(E64:E64,E66:E69)-1</f>
        <v/>
      </c>
      <c r="F73" s="34">
        <f>F65/MIN(F64:F64,F66:F69)-1</f>
        <v/>
      </c>
      <c r="G73" s="34">
        <f>G65/MIN(G64:G64,G66:G69)-1</f>
        <v/>
      </c>
      <c r="H73" s="30" t="n"/>
    </row>
    <row r="74">
      <c r="A74" s="28" t="inlineStr">
        <is>
          <t>RAJLOG x média das demais</t>
        </is>
      </c>
      <c r="B74" s="34">
        <f>B65/((SUM(B64:B69)-B65)/(COUNT(B64:B69)-1))-1</f>
        <v/>
      </c>
      <c r="C74" s="34">
        <f>C65/((SUM(C64:C69)-C65)/(COUNT(C64:C69)-1))-1</f>
        <v/>
      </c>
      <c r="D74" s="34">
        <f>D65/((SUM(D64:D69)-D65)/(COUNT(D64:D69)-1))-1</f>
        <v/>
      </c>
      <c r="E74" s="34">
        <f>E65/((SUM(E64:E69)-E65)/(COUNT(E64:E69)-1))-1</f>
        <v/>
      </c>
      <c r="F74" s="34">
        <f>F65/((SUM(F64:F69)-F65)/(COUNT(F64:F69)-1))-1</f>
        <v/>
      </c>
      <c r="G74" s="34">
        <f>G65/((SUM(G64:G69)-G65)/(COUNT(G64:G69)-1))-1</f>
        <v/>
      </c>
      <c r="H74" s="30" t="n"/>
    </row>
    <row r="77">
      <c r="A77" s="22" t="inlineStr">
        <is>
          <t>Embu das Artes - 06816-030</t>
        </is>
      </c>
      <c r="B77" s="23" t="n"/>
      <c r="C77" s="23" t="n"/>
      <c r="D77" s="23" t="n"/>
      <c r="E77" s="23" t="n"/>
      <c r="F77" s="23" t="n"/>
      <c r="G77" s="23" t="n"/>
      <c r="H77" s="23" t="n"/>
    </row>
    <row r="78">
      <c r="A78" s="24" t="inlineStr">
        <is>
          <t>Transportadora</t>
        </is>
      </c>
      <c r="B78" s="24" t="inlineStr">
        <is>
          <t>20 kg</t>
        </is>
      </c>
      <c r="C78" s="24" t="inlineStr">
        <is>
          <t>40 kg</t>
        </is>
      </c>
      <c r="D78" s="24" t="inlineStr">
        <is>
          <t>60 kg</t>
        </is>
      </c>
      <c r="E78" s="24" t="inlineStr">
        <is>
          <t>80 kg</t>
        </is>
      </c>
      <c r="F78" s="24" t="inlineStr">
        <is>
          <t>100 kg</t>
        </is>
      </c>
      <c r="G78" s="24" t="inlineStr">
        <is>
          <t>120 kg</t>
        </is>
      </c>
      <c r="H78" s="24" t="inlineStr">
        <is>
          <t>Prazo (dias)</t>
        </is>
      </c>
    </row>
    <row r="79">
      <c r="A79" s="14" t="inlineStr">
        <is>
          <t>TRANSIGA FILIAL SP</t>
        </is>
      </c>
      <c r="B79" s="25" t="n">
        <v>87.90000000000001</v>
      </c>
      <c r="C79" s="25" t="n">
        <v>109.6</v>
      </c>
      <c r="D79" s="25" t="n">
        <v>138.81</v>
      </c>
      <c r="E79" s="25" t="n">
        <v>170.43</v>
      </c>
      <c r="F79" s="25" t="n">
        <v>191.42</v>
      </c>
      <c r="G79" s="25" t="n">
        <v>240.4</v>
      </c>
      <c r="H79" s="4" t="n">
        <v>7</v>
      </c>
    </row>
    <row r="80">
      <c r="A80" s="26" t="inlineStr">
        <is>
          <t>RAJLOG</t>
        </is>
      </c>
      <c r="B80" s="27" t="n">
        <v>53.05</v>
      </c>
      <c r="C80" s="27" t="n">
        <v>81.65000000000001</v>
      </c>
      <c r="D80" s="27" t="n">
        <v>117.47</v>
      </c>
      <c r="E80" s="27" t="n">
        <v>158.41</v>
      </c>
      <c r="F80" s="27" t="n">
        <v>168.64</v>
      </c>
      <c r="G80" s="27" t="n">
        <v>221.03</v>
      </c>
      <c r="H80" s="8" t="n">
        <v>5</v>
      </c>
    </row>
    <row r="81">
      <c r="A81" s="14" t="inlineStr">
        <is>
          <t>Trans Sua Log - Standard</t>
        </is>
      </c>
      <c r="B81" s="25" t="n">
        <v>80.64</v>
      </c>
      <c r="C81" s="25" t="n">
        <v>97.81999999999999</v>
      </c>
      <c r="D81" s="25" t="n">
        <v>113.18</v>
      </c>
      <c r="E81" s="25" t="n">
        <v>133.72</v>
      </c>
      <c r="F81" s="25" t="n">
        <v>158.06</v>
      </c>
      <c r="G81" s="25" t="n">
        <v>185.63</v>
      </c>
      <c r="H81" s="4" t="n">
        <v>8</v>
      </c>
    </row>
    <row r="82">
      <c r="A82" s="14" t="inlineStr">
        <is>
          <t>Transvanio</t>
        </is>
      </c>
      <c r="B82" s="25" t="n">
        <v>155.69</v>
      </c>
      <c r="C82" s="25" t="n">
        <v>172.73</v>
      </c>
      <c r="D82" s="25" t="n">
        <v>192.16</v>
      </c>
      <c r="E82" s="25" t="n">
        <v>211.8</v>
      </c>
      <c r="F82" s="25" t="n">
        <v>231.32</v>
      </c>
      <c r="G82" s="25" t="n">
        <v>264.9</v>
      </c>
      <c r="H82" s="4" t="n">
        <v>6</v>
      </c>
    </row>
    <row r="83">
      <c r="A83" s="14" t="inlineStr">
        <is>
          <t>VM TRANSPORTES</t>
        </is>
      </c>
      <c r="B83" s="25" t="n">
        <v>77.33</v>
      </c>
      <c r="C83" s="25" t="n">
        <v>97.7</v>
      </c>
      <c r="D83" s="25" t="n">
        <v>142.07</v>
      </c>
      <c r="E83" s="25" t="n">
        <v>156.45</v>
      </c>
      <c r="F83" s="25" t="n">
        <v>170.84</v>
      </c>
      <c r="G83" s="25" t="n">
        <v>206.81</v>
      </c>
      <c r="H83" s="4" t="n">
        <v>8</v>
      </c>
    </row>
    <row r="84">
      <c r="A84" s="14" t="inlineStr">
        <is>
          <t>Trilog Express</t>
        </is>
      </c>
      <c r="B84" s="25" t="n">
        <v>134.89</v>
      </c>
      <c r="C84" s="25" t="n">
        <v>151.08</v>
      </c>
      <c r="D84" s="25" t="n">
        <v>164.28</v>
      </c>
      <c r="E84" s="25" t="n">
        <v>186.45</v>
      </c>
      <c r="F84" s="25" t="n">
        <v>196.68</v>
      </c>
      <c r="G84" s="25" t="n">
        <v>233.27</v>
      </c>
      <c r="H84" s="4" t="n">
        <v>7</v>
      </c>
    </row>
    <row r="85">
      <c r="A85" s="28" t="inlineStr">
        <is>
          <t>Menor valor</t>
        </is>
      </c>
      <c r="B85" s="29">
        <f>MIN(B79:B84)</f>
        <v/>
      </c>
      <c r="C85" s="29">
        <f>MIN(C79:C84)</f>
        <v/>
      </c>
      <c r="D85" s="29">
        <f>MIN(D79:D84)</f>
        <v/>
      </c>
      <c r="E85" s="29">
        <f>MIN(E79:E84)</f>
        <v/>
      </c>
      <c r="F85" s="29">
        <f>MIN(F79:F84)</f>
        <v/>
      </c>
      <c r="G85" s="29">
        <f>MIN(G79:G84)</f>
        <v/>
      </c>
      <c r="H85" s="30" t="n"/>
    </row>
    <row r="86">
      <c r="A86" s="28" t="inlineStr">
        <is>
          <t>Transportadora mais barata</t>
        </is>
      </c>
      <c r="B86" s="31">
        <f>INDEX($A$79:$A$84,MATCH(MIN(B79:B84),B79:B84,0))</f>
        <v/>
      </c>
      <c r="C86" s="31">
        <f>INDEX($A$79:$A$84,MATCH(MIN(C79:C84),C79:C84,0))</f>
        <v/>
      </c>
      <c r="D86" s="31">
        <f>INDEX($A$79:$A$84,MATCH(MIN(D79:D84),D79:D84,0))</f>
        <v/>
      </c>
      <c r="E86" s="31">
        <f>INDEX($A$79:$A$84,MATCH(MIN(E79:E84),E79:E84,0))</f>
        <v/>
      </c>
      <c r="F86" s="31">
        <f>INDEX($A$79:$A$84,MATCH(MIN(F79:F84),F79:F84,0))</f>
        <v/>
      </c>
      <c r="G86" s="31">
        <f>INDEX($A$79:$A$84,MATCH(MIN(G79:G84),G79:G84,0))</f>
        <v/>
      </c>
      <c r="H86" s="32" t="n"/>
    </row>
    <row r="87">
      <c r="A87" s="28" t="inlineStr">
        <is>
          <t>Posição RAJLOG</t>
        </is>
      </c>
      <c r="B87" s="33">
        <f>(COUNTIF(B79:B84,"&lt;"&amp;B80)+1)&amp;"º de "&amp;COUNT(B79:B84)</f>
        <v/>
      </c>
      <c r="C87" s="33">
        <f>(COUNTIF(C79:C84,"&lt;"&amp;C80)+1)&amp;"º de "&amp;COUNT(C79:C84)</f>
        <v/>
      </c>
      <c r="D87" s="33">
        <f>(COUNTIF(D79:D84,"&lt;"&amp;D80)+1)&amp;"º de "&amp;COUNT(D79:D84)</f>
        <v/>
      </c>
      <c r="E87" s="33">
        <f>(COUNTIF(E79:E84,"&lt;"&amp;E80)+1)&amp;"º de "&amp;COUNT(E79:E84)</f>
        <v/>
      </c>
      <c r="F87" s="33">
        <f>(COUNTIF(F79:F84,"&lt;"&amp;F80)+1)&amp;"º de "&amp;COUNT(F79:F84)</f>
        <v/>
      </c>
      <c r="G87" s="33">
        <f>(COUNTIF(G79:G84,"&lt;"&amp;G80)+1)&amp;"º de "&amp;COUNT(G79:G84)</f>
        <v/>
      </c>
      <c r="H87" s="30" t="n"/>
    </row>
    <row r="88">
      <c r="A88" s="28" t="inlineStr">
        <is>
          <t>RAJLOG x concorrente mais barato</t>
        </is>
      </c>
      <c r="B88" s="34">
        <f>B80/MIN(B79:B79,B81:B84)-1</f>
        <v/>
      </c>
      <c r="C88" s="34">
        <f>C80/MIN(C79:C79,C81:C84)-1</f>
        <v/>
      </c>
      <c r="D88" s="34">
        <f>D80/MIN(D79:D79,D81:D84)-1</f>
        <v/>
      </c>
      <c r="E88" s="34">
        <f>E80/MIN(E79:E79,E81:E84)-1</f>
        <v/>
      </c>
      <c r="F88" s="34">
        <f>F80/MIN(F79:F79,F81:F84)-1</f>
        <v/>
      </c>
      <c r="G88" s="34">
        <f>G80/MIN(G79:G79,G81:G84)-1</f>
        <v/>
      </c>
      <c r="H88" s="30" t="n"/>
    </row>
    <row r="89">
      <c r="A89" s="28" t="inlineStr">
        <is>
          <t>RAJLOG x média das demais</t>
        </is>
      </c>
      <c r="B89" s="34">
        <f>B80/((SUM(B79:B84)-B80)/(COUNT(B79:B84)-1))-1</f>
        <v/>
      </c>
      <c r="C89" s="34">
        <f>C80/((SUM(C79:C84)-C80)/(COUNT(C79:C84)-1))-1</f>
        <v/>
      </c>
      <c r="D89" s="34">
        <f>D80/((SUM(D79:D84)-D80)/(COUNT(D79:D84)-1))-1</f>
        <v/>
      </c>
      <c r="E89" s="34">
        <f>E80/((SUM(E79:E84)-E80)/(COUNT(E79:E84)-1))-1</f>
        <v/>
      </c>
      <c r="F89" s="34">
        <f>F80/((SUM(F79:F84)-F80)/(COUNT(F79:F84)-1))-1</f>
        <v/>
      </c>
      <c r="G89" s="34">
        <f>G80/((SUM(G79:G84)-G80)/(COUNT(G79:G84)-1))-1</f>
        <v/>
      </c>
      <c r="H89" s="30" t="n"/>
    </row>
    <row r="92">
      <c r="A92" s="22" t="inlineStr">
        <is>
          <t>Ferraz de Vasconcelos - 08545-210</t>
        </is>
      </c>
      <c r="B92" s="23" t="n"/>
      <c r="C92" s="23" t="n"/>
      <c r="D92" s="23" t="n"/>
      <c r="E92" s="23" t="n"/>
      <c r="F92" s="23" t="n"/>
      <c r="G92" s="23" t="n"/>
      <c r="H92" s="23" t="n"/>
    </row>
    <row r="93">
      <c r="A93" s="24" t="inlineStr">
        <is>
          <t>Transportadora</t>
        </is>
      </c>
      <c r="B93" s="24" t="inlineStr">
        <is>
          <t>20 kg</t>
        </is>
      </c>
      <c r="C93" s="24" t="inlineStr">
        <is>
          <t>40 kg</t>
        </is>
      </c>
      <c r="D93" s="24" t="inlineStr">
        <is>
          <t>60 kg</t>
        </is>
      </c>
      <c r="E93" s="24" t="inlineStr">
        <is>
          <t>80 kg</t>
        </is>
      </c>
      <c r="F93" s="24" t="inlineStr">
        <is>
          <t>100 kg</t>
        </is>
      </c>
      <c r="G93" s="24" t="inlineStr">
        <is>
          <t>120 kg</t>
        </is>
      </c>
      <c r="H93" s="24" t="inlineStr">
        <is>
          <t>Prazo (dias)</t>
        </is>
      </c>
    </row>
    <row r="94">
      <c r="A94" s="14" t="inlineStr">
        <is>
          <t>TRANSIGA FILIAL SP</t>
        </is>
      </c>
      <c r="B94" s="25" t="n">
        <v>87.90000000000001</v>
      </c>
      <c r="C94" s="25" t="n">
        <v>109.6</v>
      </c>
      <c r="D94" s="25" t="n">
        <v>138.81</v>
      </c>
      <c r="E94" s="25" t="n">
        <v>170.43</v>
      </c>
      <c r="F94" s="25" t="n">
        <v>191.42</v>
      </c>
      <c r="G94" s="25" t="n">
        <v>240.4</v>
      </c>
      <c r="H94" s="4" t="n">
        <v>7</v>
      </c>
    </row>
    <row r="95">
      <c r="A95" s="26" t="inlineStr">
        <is>
          <t>RAJLOG</t>
        </is>
      </c>
      <c r="B95" s="27" t="n">
        <v>53.05</v>
      </c>
      <c r="C95" s="27" t="n">
        <v>81.65000000000001</v>
      </c>
      <c r="D95" s="27" t="n">
        <v>117.47</v>
      </c>
      <c r="E95" s="27" t="n">
        <v>158.41</v>
      </c>
      <c r="F95" s="27" t="n">
        <v>168.64</v>
      </c>
      <c r="G95" s="27" t="n">
        <v>221.03</v>
      </c>
      <c r="H95" s="8" t="n">
        <v>5</v>
      </c>
    </row>
    <row r="96">
      <c r="A96" s="14" t="inlineStr">
        <is>
          <t>Trans Sua Log - Standard</t>
        </is>
      </c>
      <c r="B96" s="25" t="n">
        <v>80.64</v>
      </c>
      <c r="C96" s="25" t="n">
        <v>97.81999999999999</v>
      </c>
      <c r="D96" s="25" t="n">
        <v>113.18</v>
      </c>
      <c r="E96" s="25" t="n">
        <v>133.72</v>
      </c>
      <c r="F96" s="25" t="n">
        <v>158.06</v>
      </c>
      <c r="G96" s="25" t="n">
        <v>185.63</v>
      </c>
      <c r="H96" s="4" t="n">
        <v>8</v>
      </c>
    </row>
    <row r="97">
      <c r="A97" s="14" t="inlineStr">
        <is>
          <t>Transvanio</t>
        </is>
      </c>
      <c r="B97" s="25" t="n">
        <v>85.23999999999999</v>
      </c>
      <c r="C97" s="25" t="n">
        <v>104.55</v>
      </c>
      <c r="D97" s="25" t="n">
        <v>123.98</v>
      </c>
      <c r="E97" s="25" t="n">
        <v>143.61</v>
      </c>
      <c r="F97" s="25" t="n">
        <v>163.14</v>
      </c>
      <c r="G97" s="25" t="n">
        <v>196.72</v>
      </c>
      <c r="H97" s="4" t="n">
        <v>4</v>
      </c>
    </row>
    <row r="98">
      <c r="A98" s="14" t="inlineStr">
        <is>
          <t>VM TRANSPORTES</t>
        </is>
      </c>
      <c r="B98" s="25" t="n">
        <v>77.33</v>
      </c>
      <c r="C98" s="25" t="n">
        <v>97.7</v>
      </c>
      <c r="D98" s="25" t="n">
        <v>142.07</v>
      </c>
      <c r="E98" s="25" t="n">
        <v>156.45</v>
      </c>
      <c r="F98" s="25" t="n">
        <v>170.84</v>
      </c>
      <c r="G98" s="25" t="n">
        <v>206.81</v>
      </c>
      <c r="H98" s="4" t="n">
        <v>8</v>
      </c>
    </row>
    <row r="99">
      <c r="A99" s="14" t="inlineStr">
        <is>
          <t>Zelog Standard</t>
        </is>
      </c>
      <c r="B99" s="25" t="n">
        <v>88.63</v>
      </c>
      <c r="C99" s="25" t="n">
        <v>102.34</v>
      </c>
      <c r="D99" s="25" t="n">
        <v>129.24</v>
      </c>
      <c r="E99" s="25" t="n">
        <v>156.11</v>
      </c>
      <c r="F99" s="25" t="n">
        <v>166.34</v>
      </c>
      <c r="G99" s="25" t="n">
        <v>187.72</v>
      </c>
      <c r="H99" s="4" t="n">
        <v>4</v>
      </c>
    </row>
    <row r="100">
      <c r="A100" s="14" t="inlineStr">
        <is>
          <t>Trilog Express</t>
        </is>
      </c>
      <c r="B100" s="25" t="n">
        <v>134.89</v>
      </c>
      <c r="C100" s="25" t="n">
        <v>151.08</v>
      </c>
      <c r="D100" s="25" t="n">
        <v>164.28</v>
      </c>
      <c r="E100" s="25" t="n">
        <v>186.45</v>
      </c>
      <c r="F100" s="25" t="n">
        <v>196.68</v>
      </c>
      <c r="G100" s="25" t="n">
        <v>233.27</v>
      </c>
      <c r="H100" s="4" t="n">
        <v>7</v>
      </c>
    </row>
    <row r="101">
      <c r="A101" s="28" t="inlineStr">
        <is>
          <t>Menor valor</t>
        </is>
      </c>
      <c r="B101" s="29">
        <f>MIN(B94:B100)</f>
        <v/>
      </c>
      <c r="C101" s="29">
        <f>MIN(C94:C100)</f>
        <v/>
      </c>
      <c r="D101" s="29">
        <f>MIN(D94:D100)</f>
        <v/>
      </c>
      <c r="E101" s="29">
        <f>MIN(E94:E100)</f>
        <v/>
      </c>
      <c r="F101" s="29">
        <f>MIN(F94:F100)</f>
        <v/>
      </c>
      <c r="G101" s="29">
        <f>MIN(G94:G100)</f>
        <v/>
      </c>
      <c r="H101" s="30" t="n"/>
    </row>
    <row r="102">
      <c r="A102" s="28" t="inlineStr">
        <is>
          <t>Transportadora mais barata</t>
        </is>
      </c>
      <c r="B102" s="31">
        <f>INDEX($A$94:$A$100,MATCH(MIN(B94:B100),B94:B100,0))</f>
        <v/>
      </c>
      <c r="C102" s="31">
        <f>INDEX($A$94:$A$100,MATCH(MIN(C94:C100),C94:C100,0))</f>
        <v/>
      </c>
      <c r="D102" s="31">
        <f>INDEX($A$94:$A$100,MATCH(MIN(D94:D100),D94:D100,0))</f>
        <v/>
      </c>
      <c r="E102" s="31">
        <f>INDEX($A$94:$A$100,MATCH(MIN(E94:E100),E94:E100,0))</f>
        <v/>
      </c>
      <c r="F102" s="31">
        <f>INDEX($A$94:$A$100,MATCH(MIN(F94:F100),F94:F100,0))</f>
        <v/>
      </c>
      <c r="G102" s="31">
        <f>INDEX($A$94:$A$100,MATCH(MIN(G94:G100),G94:G100,0))</f>
        <v/>
      </c>
      <c r="H102" s="32" t="n"/>
    </row>
    <row r="103">
      <c r="A103" s="28" t="inlineStr">
        <is>
          <t>Posição RAJLOG</t>
        </is>
      </c>
      <c r="B103" s="33">
        <f>(COUNTIF(B94:B100,"&lt;"&amp;B95)+1)&amp;"º de "&amp;COUNT(B94:B100)</f>
        <v/>
      </c>
      <c r="C103" s="33">
        <f>(COUNTIF(C94:C100,"&lt;"&amp;C95)+1)&amp;"º de "&amp;COUNT(C94:C100)</f>
        <v/>
      </c>
      <c r="D103" s="33">
        <f>(COUNTIF(D94:D100,"&lt;"&amp;D95)+1)&amp;"º de "&amp;COUNT(D94:D100)</f>
        <v/>
      </c>
      <c r="E103" s="33">
        <f>(COUNTIF(E94:E100,"&lt;"&amp;E95)+1)&amp;"º de "&amp;COUNT(E94:E100)</f>
        <v/>
      </c>
      <c r="F103" s="33">
        <f>(COUNTIF(F94:F100,"&lt;"&amp;F95)+1)&amp;"º de "&amp;COUNT(F94:F100)</f>
        <v/>
      </c>
      <c r="G103" s="33">
        <f>(COUNTIF(G94:G100,"&lt;"&amp;G95)+1)&amp;"º de "&amp;COUNT(G94:G100)</f>
        <v/>
      </c>
      <c r="H103" s="30" t="n"/>
    </row>
    <row r="104">
      <c r="A104" s="28" t="inlineStr">
        <is>
          <t>RAJLOG x concorrente mais barato</t>
        </is>
      </c>
      <c r="B104" s="34">
        <f>B95/MIN(B94:B94,B96:B100)-1</f>
        <v/>
      </c>
      <c r="C104" s="34">
        <f>C95/MIN(C94:C94,C96:C100)-1</f>
        <v/>
      </c>
      <c r="D104" s="34">
        <f>D95/MIN(D94:D94,D96:D100)-1</f>
        <v/>
      </c>
      <c r="E104" s="34">
        <f>E95/MIN(E94:E94,E96:E100)-1</f>
        <v/>
      </c>
      <c r="F104" s="34">
        <f>F95/MIN(F94:F94,F96:F100)-1</f>
        <v/>
      </c>
      <c r="G104" s="34">
        <f>G95/MIN(G94:G94,G96:G100)-1</f>
        <v/>
      </c>
      <c r="H104" s="30" t="n"/>
    </row>
    <row r="105">
      <c r="A105" s="28" t="inlineStr">
        <is>
          <t>RAJLOG x média das demais</t>
        </is>
      </c>
      <c r="B105" s="34">
        <f>B95/((SUM(B94:B100)-B95)/(COUNT(B94:B100)-1))-1</f>
        <v/>
      </c>
      <c r="C105" s="34">
        <f>C95/((SUM(C94:C100)-C95)/(COUNT(C94:C100)-1))-1</f>
        <v/>
      </c>
      <c r="D105" s="34">
        <f>D95/((SUM(D94:D100)-D95)/(COUNT(D94:D100)-1))-1</f>
        <v/>
      </c>
      <c r="E105" s="34">
        <f>E95/((SUM(E94:E100)-E95)/(COUNT(E94:E100)-1))-1</f>
        <v/>
      </c>
      <c r="F105" s="34">
        <f>F95/((SUM(F94:F100)-F95)/(COUNT(F94:F100)-1))-1</f>
        <v/>
      </c>
      <c r="G105" s="34">
        <f>G95/((SUM(G94:G100)-G95)/(COUNT(G94:G100)-1))-1</f>
        <v/>
      </c>
      <c r="H105" s="30" t="n"/>
    </row>
    <row r="108">
      <c r="A108" s="22" t="inlineStr">
        <is>
          <t>Francisco Morato - 07950-260</t>
        </is>
      </c>
      <c r="B108" s="23" t="n"/>
      <c r="C108" s="23" t="n"/>
      <c r="D108" s="23" t="n"/>
      <c r="E108" s="23" t="n"/>
      <c r="F108" s="23" t="n"/>
      <c r="G108" s="23" t="n"/>
      <c r="H108" s="23" t="n"/>
    </row>
    <row r="109">
      <c r="A109" s="24" t="inlineStr">
        <is>
          <t>Transportadora</t>
        </is>
      </c>
      <c r="B109" s="24" t="inlineStr">
        <is>
          <t>20 kg</t>
        </is>
      </c>
      <c r="C109" s="24" t="inlineStr">
        <is>
          <t>40 kg</t>
        </is>
      </c>
      <c r="D109" s="24" t="inlineStr">
        <is>
          <t>60 kg</t>
        </is>
      </c>
      <c r="E109" s="24" t="inlineStr">
        <is>
          <t>80 kg</t>
        </is>
      </c>
      <c r="F109" s="24" t="inlineStr">
        <is>
          <t>100 kg</t>
        </is>
      </c>
      <c r="G109" s="24" t="inlineStr">
        <is>
          <t>120 kg</t>
        </is>
      </c>
      <c r="H109" s="24" t="inlineStr">
        <is>
          <t>Prazo (dias)</t>
        </is>
      </c>
    </row>
    <row r="110">
      <c r="A110" s="14" t="inlineStr">
        <is>
          <t>TRANSIGA FILIAL SP</t>
        </is>
      </c>
      <c r="B110" s="25" t="n">
        <v>121.99</v>
      </c>
      <c r="C110" s="25" t="n">
        <v>153.11</v>
      </c>
      <c r="D110" s="25" t="n">
        <v>176.73</v>
      </c>
      <c r="E110" s="25" t="n">
        <v>205.01</v>
      </c>
      <c r="F110" s="25" t="n">
        <v>228.44</v>
      </c>
      <c r="G110" s="25" t="n">
        <v>269.94</v>
      </c>
      <c r="H110" s="4" t="n">
        <v>7</v>
      </c>
    </row>
    <row r="111">
      <c r="A111" s="26" t="inlineStr">
        <is>
          <t>RAJLOG</t>
        </is>
      </c>
      <c r="B111" s="27" t="n">
        <v>53.05</v>
      </c>
      <c r="C111" s="27" t="n">
        <v>81.65000000000001</v>
      </c>
      <c r="D111" s="27" t="n">
        <v>117.47</v>
      </c>
      <c r="E111" s="27" t="n">
        <v>158.41</v>
      </c>
      <c r="F111" s="27" t="n">
        <v>168.64</v>
      </c>
      <c r="G111" s="27" t="n">
        <v>221.03</v>
      </c>
      <c r="H111" s="8" t="n">
        <v>5</v>
      </c>
    </row>
    <row r="112">
      <c r="A112" s="14" t="inlineStr">
        <is>
          <t>Trans Sua Log - Standard</t>
        </is>
      </c>
      <c r="B112" s="25" t="n">
        <v>80.64</v>
      </c>
      <c r="C112" s="25" t="n">
        <v>97.81999999999999</v>
      </c>
      <c r="D112" s="25" t="n">
        <v>113.18</v>
      </c>
      <c r="E112" s="25" t="n">
        <v>133.72</v>
      </c>
      <c r="F112" s="25" t="n">
        <v>158.06</v>
      </c>
      <c r="G112" s="25" t="n">
        <v>185.63</v>
      </c>
      <c r="H112" s="4" t="n">
        <v>8</v>
      </c>
    </row>
    <row r="113">
      <c r="A113" s="14" t="inlineStr">
        <is>
          <t>Transvanio</t>
        </is>
      </c>
      <c r="B113" s="25" t="n">
        <v>155.69</v>
      </c>
      <c r="C113" s="25" t="n">
        <v>172.73</v>
      </c>
      <c r="D113" s="25" t="n">
        <v>192.16</v>
      </c>
      <c r="E113" s="25" t="n">
        <v>211.8</v>
      </c>
      <c r="F113" s="25" t="n">
        <v>231.32</v>
      </c>
      <c r="G113" s="25" t="n">
        <v>264.9</v>
      </c>
      <c r="H113" s="4" t="n">
        <v>6</v>
      </c>
    </row>
    <row r="114">
      <c r="A114" s="14" t="inlineStr">
        <is>
          <t>Trilog Express</t>
        </is>
      </c>
      <c r="B114" s="25" t="n">
        <v>134.89</v>
      </c>
      <c r="C114" s="25" t="n">
        <v>151.08</v>
      </c>
      <c r="D114" s="25" t="n">
        <v>164.28</v>
      </c>
      <c r="E114" s="25" t="n">
        <v>186.45</v>
      </c>
      <c r="F114" s="25" t="n">
        <v>196.68</v>
      </c>
      <c r="G114" s="25" t="n">
        <v>233.27</v>
      </c>
      <c r="H114" s="4" t="n">
        <v>7</v>
      </c>
    </row>
    <row r="115">
      <c r="A115" s="28" t="inlineStr">
        <is>
          <t>Menor valor</t>
        </is>
      </c>
      <c r="B115" s="29">
        <f>MIN(B110:B114)</f>
        <v/>
      </c>
      <c r="C115" s="29">
        <f>MIN(C110:C114)</f>
        <v/>
      </c>
      <c r="D115" s="29">
        <f>MIN(D110:D114)</f>
        <v/>
      </c>
      <c r="E115" s="29">
        <f>MIN(E110:E114)</f>
        <v/>
      </c>
      <c r="F115" s="29">
        <f>MIN(F110:F114)</f>
        <v/>
      </c>
      <c r="G115" s="29">
        <f>MIN(G110:G114)</f>
        <v/>
      </c>
      <c r="H115" s="30" t="n"/>
    </row>
    <row r="116">
      <c r="A116" s="28" t="inlineStr">
        <is>
          <t>Transportadora mais barata</t>
        </is>
      </c>
      <c r="B116" s="31">
        <f>INDEX($A$110:$A$114,MATCH(MIN(B110:B114),B110:B114,0))</f>
        <v/>
      </c>
      <c r="C116" s="31">
        <f>INDEX($A$110:$A$114,MATCH(MIN(C110:C114),C110:C114,0))</f>
        <v/>
      </c>
      <c r="D116" s="31">
        <f>INDEX($A$110:$A$114,MATCH(MIN(D110:D114),D110:D114,0))</f>
        <v/>
      </c>
      <c r="E116" s="31">
        <f>INDEX($A$110:$A$114,MATCH(MIN(E110:E114),E110:E114,0))</f>
        <v/>
      </c>
      <c r="F116" s="31">
        <f>INDEX($A$110:$A$114,MATCH(MIN(F110:F114),F110:F114,0))</f>
        <v/>
      </c>
      <c r="G116" s="31">
        <f>INDEX($A$110:$A$114,MATCH(MIN(G110:G114),G110:G114,0))</f>
        <v/>
      </c>
      <c r="H116" s="32" t="n"/>
    </row>
    <row r="117">
      <c r="A117" s="28" t="inlineStr">
        <is>
          <t>Posição RAJLOG</t>
        </is>
      </c>
      <c r="B117" s="33">
        <f>(COUNTIF(B110:B114,"&lt;"&amp;B111)+1)&amp;"º de "&amp;COUNT(B110:B114)</f>
        <v/>
      </c>
      <c r="C117" s="33">
        <f>(COUNTIF(C110:C114,"&lt;"&amp;C111)+1)&amp;"º de "&amp;COUNT(C110:C114)</f>
        <v/>
      </c>
      <c r="D117" s="33">
        <f>(COUNTIF(D110:D114,"&lt;"&amp;D111)+1)&amp;"º de "&amp;COUNT(D110:D114)</f>
        <v/>
      </c>
      <c r="E117" s="33">
        <f>(COUNTIF(E110:E114,"&lt;"&amp;E111)+1)&amp;"º de "&amp;COUNT(E110:E114)</f>
        <v/>
      </c>
      <c r="F117" s="33">
        <f>(COUNTIF(F110:F114,"&lt;"&amp;F111)+1)&amp;"º de "&amp;COUNT(F110:F114)</f>
        <v/>
      </c>
      <c r="G117" s="33">
        <f>(COUNTIF(G110:G114,"&lt;"&amp;G111)+1)&amp;"º de "&amp;COUNT(G110:G114)</f>
        <v/>
      </c>
      <c r="H117" s="30" t="n"/>
    </row>
    <row r="118">
      <c r="A118" s="28" t="inlineStr">
        <is>
          <t>RAJLOG x concorrente mais barato</t>
        </is>
      </c>
      <c r="B118" s="34">
        <f>B111/MIN(B110:B110,B112:B114)-1</f>
        <v/>
      </c>
      <c r="C118" s="34">
        <f>C111/MIN(C110:C110,C112:C114)-1</f>
        <v/>
      </c>
      <c r="D118" s="34">
        <f>D111/MIN(D110:D110,D112:D114)-1</f>
        <v/>
      </c>
      <c r="E118" s="34">
        <f>E111/MIN(E110:E110,E112:E114)-1</f>
        <v/>
      </c>
      <c r="F118" s="34">
        <f>F111/MIN(F110:F110,F112:F114)-1</f>
        <v/>
      </c>
      <c r="G118" s="34">
        <f>G111/MIN(G110:G110,G112:G114)-1</f>
        <v/>
      </c>
      <c r="H118" s="30" t="n"/>
    </row>
    <row r="119">
      <c r="A119" s="28" t="inlineStr">
        <is>
          <t>RAJLOG x média das demais</t>
        </is>
      </c>
      <c r="B119" s="34">
        <f>B111/((SUM(B110:B114)-B111)/(COUNT(B110:B114)-1))-1</f>
        <v/>
      </c>
      <c r="C119" s="34">
        <f>C111/((SUM(C110:C114)-C111)/(COUNT(C110:C114)-1))-1</f>
        <v/>
      </c>
      <c r="D119" s="34">
        <f>D111/((SUM(D110:D114)-D111)/(COUNT(D110:D114)-1))-1</f>
        <v/>
      </c>
      <c r="E119" s="34">
        <f>E111/((SUM(E110:E114)-E111)/(COUNT(E110:E114)-1))-1</f>
        <v/>
      </c>
      <c r="F119" s="34">
        <f>F111/((SUM(F110:F114)-F111)/(COUNT(F110:F114)-1))-1</f>
        <v/>
      </c>
      <c r="G119" s="34">
        <f>G111/((SUM(G110:G114)-G111)/(COUNT(G110:G114)-1))-1</f>
        <v/>
      </c>
      <c r="H119" s="30" t="n"/>
    </row>
    <row r="122">
      <c r="A122" s="22" t="inlineStr">
        <is>
          <t>Franco da Rocha - 07851-060</t>
        </is>
      </c>
      <c r="B122" s="23" t="n"/>
      <c r="C122" s="23" t="n"/>
      <c r="D122" s="23" t="n"/>
      <c r="E122" s="23" t="n"/>
      <c r="F122" s="23" t="n"/>
      <c r="G122" s="23" t="n"/>
      <c r="H122" s="23" t="n"/>
    </row>
    <row r="123">
      <c r="A123" s="24" t="inlineStr">
        <is>
          <t>Transportadora</t>
        </is>
      </c>
      <c r="B123" s="24" t="inlineStr">
        <is>
          <t>20 kg</t>
        </is>
      </c>
      <c r="C123" s="24" t="inlineStr">
        <is>
          <t>40 kg</t>
        </is>
      </c>
      <c r="D123" s="24" t="inlineStr">
        <is>
          <t>60 kg</t>
        </is>
      </c>
      <c r="E123" s="24" t="inlineStr">
        <is>
          <t>80 kg</t>
        </is>
      </c>
      <c r="F123" s="24" t="inlineStr">
        <is>
          <t>100 kg</t>
        </is>
      </c>
      <c r="G123" s="24" t="inlineStr">
        <is>
          <t>120 kg</t>
        </is>
      </c>
      <c r="H123" s="24" t="inlineStr">
        <is>
          <t>Prazo (dias)</t>
        </is>
      </c>
    </row>
    <row r="124">
      <c r="A124" s="14" t="inlineStr">
        <is>
          <t>TRANSIGA FILIAL SP</t>
        </is>
      </c>
      <c r="B124" s="25" t="n">
        <v>87.90000000000001</v>
      </c>
      <c r="C124" s="25" t="n">
        <v>119.02</v>
      </c>
      <c r="D124" s="25" t="n">
        <v>142.64</v>
      </c>
      <c r="E124" s="25" t="n">
        <v>170.92</v>
      </c>
      <c r="F124" s="25" t="n">
        <v>194.35</v>
      </c>
      <c r="G124" s="25" t="n">
        <v>235.85</v>
      </c>
      <c r="H124" s="4" t="n">
        <v>7</v>
      </c>
    </row>
    <row r="125">
      <c r="A125" s="26" t="inlineStr">
        <is>
          <t>RAJLOG</t>
        </is>
      </c>
      <c r="B125" s="27" t="n">
        <v>53.05</v>
      </c>
      <c r="C125" s="27" t="n">
        <v>81.65000000000001</v>
      </c>
      <c r="D125" s="27" t="n">
        <v>117.47</v>
      </c>
      <c r="E125" s="27" t="n">
        <v>158.41</v>
      </c>
      <c r="F125" s="27" t="n">
        <v>168.64</v>
      </c>
      <c r="G125" s="27" t="n">
        <v>221.03</v>
      </c>
      <c r="H125" s="8" t="n">
        <v>5</v>
      </c>
    </row>
    <row r="126">
      <c r="A126" s="14" t="inlineStr">
        <is>
          <t>Trans Sua Log - Standard</t>
        </is>
      </c>
      <c r="B126" s="25" t="n">
        <v>80.64</v>
      </c>
      <c r="C126" s="25" t="n">
        <v>97.81999999999999</v>
      </c>
      <c r="D126" s="25" t="n">
        <v>113.18</v>
      </c>
      <c r="E126" s="25" t="n">
        <v>133.72</v>
      </c>
      <c r="F126" s="25" t="n">
        <v>158.06</v>
      </c>
      <c r="G126" s="25" t="n">
        <v>185.63</v>
      </c>
      <c r="H126" s="4" t="n">
        <v>8</v>
      </c>
    </row>
    <row r="127">
      <c r="A127" s="14" t="inlineStr">
        <is>
          <t>Transvanio</t>
        </is>
      </c>
      <c r="B127" s="25" t="n">
        <v>155.69</v>
      </c>
      <c r="C127" s="25" t="n">
        <v>172.73</v>
      </c>
      <c r="D127" s="25" t="n">
        <v>192.16</v>
      </c>
      <c r="E127" s="25" t="n">
        <v>211.8</v>
      </c>
      <c r="F127" s="25" t="n">
        <v>231.32</v>
      </c>
      <c r="G127" s="25" t="n">
        <v>264.9</v>
      </c>
      <c r="H127" s="4" t="n">
        <v>6</v>
      </c>
    </row>
    <row r="128">
      <c r="A128" s="14" t="inlineStr">
        <is>
          <t>Trilog Express</t>
        </is>
      </c>
      <c r="B128" s="25" t="n">
        <v>134.89</v>
      </c>
      <c r="C128" s="25" t="n">
        <v>151.08</v>
      </c>
      <c r="D128" s="25" t="n">
        <v>164.28</v>
      </c>
      <c r="E128" s="25" t="n">
        <v>186.45</v>
      </c>
      <c r="F128" s="25" t="n">
        <v>196.68</v>
      </c>
      <c r="G128" s="25" t="n">
        <v>233.27</v>
      </c>
      <c r="H128" s="4" t="n">
        <v>7</v>
      </c>
    </row>
    <row r="129">
      <c r="A129" s="28" t="inlineStr">
        <is>
          <t>Menor valor</t>
        </is>
      </c>
      <c r="B129" s="29">
        <f>MIN(B124:B128)</f>
        <v/>
      </c>
      <c r="C129" s="29">
        <f>MIN(C124:C128)</f>
        <v/>
      </c>
      <c r="D129" s="29">
        <f>MIN(D124:D128)</f>
        <v/>
      </c>
      <c r="E129" s="29">
        <f>MIN(E124:E128)</f>
        <v/>
      </c>
      <c r="F129" s="29">
        <f>MIN(F124:F128)</f>
        <v/>
      </c>
      <c r="G129" s="29">
        <f>MIN(G124:G128)</f>
        <v/>
      </c>
      <c r="H129" s="30" t="n"/>
    </row>
    <row r="130">
      <c r="A130" s="28" t="inlineStr">
        <is>
          <t>Transportadora mais barata</t>
        </is>
      </c>
      <c r="B130" s="31">
        <f>INDEX($A$124:$A$128,MATCH(MIN(B124:B128),B124:B128,0))</f>
        <v/>
      </c>
      <c r="C130" s="31">
        <f>INDEX($A$124:$A$128,MATCH(MIN(C124:C128),C124:C128,0))</f>
        <v/>
      </c>
      <c r="D130" s="31">
        <f>INDEX($A$124:$A$128,MATCH(MIN(D124:D128),D124:D128,0))</f>
        <v/>
      </c>
      <c r="E130" s="31">
        <f>INDEX($A$124:$A$128,MATCH(MIN(E124:E128),E124:E128,0))</f>
        <v/>
      </c>
      <c r="F130" s="31">
        <f>INDEX($A$124:$A$128,MATCH(MIN(F124:F128),F124:F128,0))</f>
        <v/>
      </c>
      <c r="G130" s="31">
        <f>INDEX($A$124:$A$128,MATCH(MIN(G124:G128),G124:G128,0))</f>
        <v/>
      </c>
      <c r="H130" s="32" t="n"/>
    </row>
    <row r="131">
      <c r="A131" s="28" t="inlineStr">
        <is>
          <t>Posição RAJLOG</t>
        </is>
      </c>
      <c r="B131" s="33">
        <f>(COUNTIF(B124:B128,"&lt;"&amp;B125)+1)&amp;"º de "&amp;COUNT(B124:B128)</f>
        <v/>
      </c>
      <c r="C131" s="33">
        <f>(COUNTIF(C124:C128,"&lt;"&amp;C125)+1)&amp;"º de "&amp;COUNT(C124:C128)</f>
        <v/>
      </c>
      <c r="D131" s="33">
        <f>(COUNTIF(D124:D128,"&lt;"&amp;D125)+1)&amp;"º de "&amp;COUNT(D124:D128)</f>
        <v/>
      </c>
      <c r="E131" s="33">
        <f>(COUNTIF(E124:E128,"&lt;"&amp;E125)+1)&amp;"º de "&amp;COUNT(E124:E128)</f>
        <v/>
      </c>
      <c r="F131" s="33">
        <f>(COUNTIF(F124:F128,"&lt;"&amp;F125)+1)&amp;"º de "&amp;COUNT(F124:F128)</f>
        <v/>
      </c>
      <c r="G131" s="33">
        <f>(COUNTIF(G124:G128,"&lt;"&amp;G125)+1)&amp;"º de "&amp;COUNT(G124:G128)</f>
        <v/>
      </c>
      <c r="H131" s="30" t="n"/>
    </row>
    <row r="132">
      <c r="A132" s="28" t="inlineStr">
        <is>
          <t>RAJLOG x concorrente mais barato</t>
        </is>
      </c>
      <c r="B132" s="34">
        <f>B125/MIN(B124:B124,B126:B128)-1</f>
        <v/>
      </c>
      <c r="C132" s="34">
        <f>C125/MIN(C124:C124,C126:C128)-1</f>
        <v/>
      </c>
      <c r="D132" s="34">
        <f>D125/MIN(D124:D124,D126:D128)-1</f>
        <v/>
      </c>
      <c r="E132" s="34">
        <f>E125/MIN(E124:E124,E126:E128)-1</f>
        <v/>
      </c>
      <c r="F132" s="34">
        <f>F125/MIN(F124:F124,F126:F128)-1</f>
        <v/>
      </c>
      <c r="G132" s="34">
        <f>G125/MIN(G124:G124,G126:G128)-1</f>
        <v/>
      </c>
      <c r="H132" s="30" t="n"/>
    </row>
    <row r="133">
      <c r="A133" s="28" t="inlineStr">
        <is>
          <t>RAJLOG x média das demais</t>
        </is>
      </c>
      <c r="B133" s="34">
        <f>B125/((SUM(B124:B128)-B125)/(COUNT(B124:B128)-1))-1</f>
        <v/>
      </c>
      <c r="C133" s="34">
        <f>C125/((SUM(C124:C128)-C125)/(COUNT(C124:C128)-1))-1</f>
        <v/>
      </c>
      <c r="D133" s="34">
        <f>D125/((SUM(D124:D128)-D125)/(COUNT(D124:D128)-1))-1</f>
        <v/>
      </c>
      <c r="E133" s="34">
        <f>E125/((SUM(E124:E128)-E125)/(COUNT(E124:E128)-1))-1</f>
        <v/>
      </c>
      <c r="F133" s="34">
        <f>F125/((SUM(F124:F128)-F125)/(COUNT(F124:F128)-1))-1</f>
        <v/>
      </c>
      <c r="G133" s="34">
        <f>G125/((SUM(G124:G128)-G125)/(COUNT(G124:G128)-1))-1</f>
        <v/>
      </c>
      <c r="H133" s="30" t="n"/>
    </row>
    <row r="136">
      <c r="A136" s="22" t="inlineStr">
        <is>
          <t>Itaquaquecetuba - 08594-270</t>
        </is>
      </c>
      <c r="B136" s="23" t="n"/>
      <c r="C136" s="23" t="n"/>
      <c r="D136" s="23" t="n"/>
      <c r="E136" s="23" t="n"/>
      <c r="F136" s="23" t="n"/>
      <c r="G136" s="23" t="n"/>
      <c r="H136" s="23" t="n"/>
    </row>
    <row r="137">
      <c r="A137" s="24" t="inlineStr">
        <is>
          <t>Transportadora</t>
        </is>
      </c>
      <c r="B137" s="24" t="inlineStr">
        <is>
          <t>20 kg</t>
        </is>
      </c>
      <c r="C137" s="24" t="inlineStr">
        <is>
          <t>40 kg</t>
        </is>
      </c>
      <c r="D137" s="24" t="inlineStr">
        <is>
          <t>60 kg</t>
        </is>
      </c>
      <c r="E137" s="24" t="inlineStr">
        <is>
          <t>80 kg</t>
        </is>
      </c>
      <c r="F137" s="24" t="inlineStr">
        <is>
          <t>100 kg</t>
        </is>
      </c>
      <c r="G137" s="24" t="inlineStr">
        <is>
          <t>120 kg</t>
        </is>
      </c>
      <c r="H137" s="24" t="inlineStr">
        <is>
          <t>Prazo (dias)</t>
        </is>
      </c>
    </row>
    <row r="138">
      <c r="A138" s="14" t="inlineStr">
        <is>
          <t>TRANSIGA FILIAL SP</t>
        </is>
      </c>
      <c r="B138" s="25" t="n">
        <v>87.90000000000001</v>
      </c>
      <c r="C138" s="25" t="n">
        <v>109.6</v>
      </c>
      <c r="D138" s="25" t="n">
        <v>138.81</v>
      </c>
      <c r="E138" s="25" t="n">
        <v>170.43</v>
      </c>
      <c r="F138" s="25" t="n">
        <v>191.42</v>
      </c>
      <c r="G138" s="25" t="n">
        <v>240.4</v>
      </c>
      <c r="H138" s="4" t="n">
        <v>7</v>
      </c>
    </row>
    <row r="139">
      <c r="A139" s="26" t="inlineStr">
        <is>
          <t>RAJLOG</t>
        </is>
      </c>
      <c r="B139" s="27" t="n">
        <v>53.05</v>
      </c>
      <c r="C139" s="27" t="n">
        <v>81.65000000000001</v>
      </c>
      <c r="D139" s="27" t="n">
        <v>117.47</v>
      </c>
      <c r="E139" s="27" t="n">
        <v>158.41</v>
      </c>
      <c r="F139" s="27" t="n">
        <v>168.64</v>
      </c>
      <c r="G139" s="27" t="n">
        <v>221.03</v>
      </c>
      <c r="H139" s="8" t="n">
        <v>5</v>
      </c>
    </row>
    <row r="140">
      <c r="A140" s="14" t="inlineStr">
        <is>
          <t>Trans Sua Log - Standard</t>
        </is>
      </c>
      <c r="B140" s="25" t="n">
        <v>80.64</v>
      </c>
      <c r="C140" s="25" t="n">
        <v>97.81999999999999</v>
      </c>
      <c r="D140" s="25" t="n">
        <v>113.18</v>
      </c>
      <c r="E140" s="25" t="n">
        <v>133.72</v>
      </c>
      <c r="F140" s="25" t="n">
        <v>158.06</v>
      </c>
      <c r="G140" s="25" t="n">
        <v>185.63</v>
      </c>
      <c r="H140" s="4" t="n">
        <v>8</v>
      </c>
    </row>
    <row r="141">
      <c r="A141" s="14" t="inlineStr">
        <is>
          <t>Transvanio</t>
        </is>
      </c>
      <c r="B141" s="25" t="n">
        <v>85.23999999999999</v>
      </c>
      <c r="C141" s="25" t="n">
        <v>104.55</v>
      </c>
      <c r="D141" s="25" t="n">
        <v>123.98</v>
      </c>
      <c r="E141" s="25" t="n">
        <v>143.61</v>
      </c>
      <c r="F141" s="25" t="n">
        <v>163.14</v>
      </c>
      <c r="G141" s="25" t="n">
        <v>196.72</v>
      </c>
      <c r="H141" s="4" t="n">
        <v>4</v>
      </c>
    </row>
    <row r="142">
      <c r="A142" s="14" t="inlineStr">
        <is>
          <t>VM TRANSPORTES</t>
        </is>
      </c>
      <c r="B142" s="25" t="n">
        <v>77.33</v>
      </c>
      <c r="C142" s="25" t="n">
        <v>97.7</v>
      </c>
      <c r="D142" s="25" t="n">
        <v>142.07</v>
      </c>
      <c r="E142" s="25" t="n">
        <v>156.45</v>
      </c>
      <c r="F142" s="25" t="n">
        <v>170.84</v>
      </c>
      <c r="G142" s="25" t="n">
        <v>206.81</v>
      </c>
      <c r="H142" s="4" t="n">
        <v>8</v>
      </c>
    </row>
    <row r="143">
      <c r="A143" s="14" t="inlineStr">
        <is>
          <t>Zelog Standard</t>
        </is>
      </c>
      <c r="B143" s="25" t="n">
        <v>88.63</v>
      </c>
      <c r="C143" s="25" t="n">
        <v>102.34</v>
      </c>
      <c r="D143" s="25" t="n">
        <v>129.24</v>
      </c>
      <c r="E143" s="25" t="n">
        <v>156.11</v>
      </c>
      <c r="F143" s="25" t="n">
        <v>166.34</v>
      </c>
      <c r="G143" s="25" t="n">
        <v>187.72</v>
      </c>
      <c r="H143" s="4" t="n">
        <v>4</v>
      </c>
    </row>
    <row r="144">
      <c r="A144" s="14" t="inlineStr">
        <is>
          <t>Trilog Express</t>
        </is>
      </c>
      <c r="B144" s="25" t="n">
        <v>134.89</v>
      </c>
      <c r="C144" s="25" t="n">
        <v>151.08</v>
      </c>
      <c r="D144" s="25" t="n">
        <v>164.28</v>
      </c>
      <c r="E144" s="25" t="n">
        <v>186.45</v>
      </c>
      <c r="F144" s="25" t="n">
        <v>196.68</v>
      </c>
      <c r="G144" s="25" t="n">
        <v>233.27</v>
      </c>
      <c r="H144" s="4" t="n">
        <v>7</v>
      </c>
    </row>
    <row r="145">
      <c r="A145" s="28" t="inlineStr">
        <is>
          <t>Menor valor</t>
        </is>
      </c>
      <c r="B145" s="29">
        <f>MIN(B138:B144)</f>
        <v/>
      </c>
      <c r="C145" s="29">
        <f>MIN(C138:C144)</f>
        <v/>
      </c>
      <c r="D145" s="29">
        <f>MIN(D138:D144)</f>
        <v/>
      </c>
      <c r="E145" s="29">
        <f>MIN(E138:E144)</f>
        <v/>
      </c>
      <c r="F145" s="29">
        <f>MIN(F138:F144)</f>
        <v/>
      </c>
      <c r="G145" s="29">
        <f>MIN(G138:G144)</f>
        <v/>
      </c>
      <c r="H145" s="30" t="n"/>
    </row>
    <row r="146">
      <c r="A146" s="28" t="inlineStr">
        <is>
          <t>Transportadora mais barata</t>
        </is>
      </c>
      <c r="B146" s="31">
        <f>INDEX($A$138:$A$144,MATCH(MIN(B138:B144),B138:B144,0))</f>
        <v/>
      </c>
      <c r="C146" s="31">
        <f>INDEX($A$138:$A$144,MATCH(MIN(C138:C144),C138:C144,0))</f>
        <v/>
      </c>
      <c r="D146" s="31">
        <f>INDEX($A$138:$A$144,MATCH(MIN(D138:D144),D138:D144,0))</f>
        <v/>
      </c>
      <c r="E146" s="31">
        <f>INDEX($A$138:$A$144,MATCH(MIN(E138:E144),E138:E144,0))</f>
        <v/>
      </c>
      <c r="F146" s="31">
        <f>INDEX($A$138:$A$144,MATCH(MIN(F138:F144),F138:F144,0))</f>
        <v/>
      </c>
      <c r="G146" s="31">
        <f>INDEX($A$138:$A$144,MATCH(MIN(G138:G144),G138:G144,0))</f>
        <v/>
      </c>
      <c r="H146" s="32" t="n"/>
    </row>
    <row r="147">
      <c r="A147" s="28" t="inlineStr">
        <is>
          <t>Posição RAJLOG</t>
        </is>
      </c>
      <c r="B147" s="33">
        <f>(COUNTIF(B138:B144,"&lt;"&amp;B139)+1)&amp;"º de "&amp;COUNT(B138:B144)</f>
        <v/>
      </c>
      <c r="C147" s="33">
        <f>(COUNTIF(C138:C144,"&lt;"&amp;C139)+1)&amp;"º de "&amp;COUNT(C138:C144)</f>
        <v/>
      </c>
      <c r="D147" s="33">
        <f>(COUNTIF(D138:D144,"&lt;"&amp;D139)+1)&amp;"º de "&amp;COUNT(D138:D144)</f>
        <v/>
      </c>
      <c r="E147" s="33">
        <f>(COUNTIF(E138:E144,"&lt;"&amp;E139)+1)&amp;"º de "&amp;COUNT(E138:E144)</f>
        <v/>
      </c>
      <c r="F147" s="33">
        <f>(COUNTIF(F138:F144,"&lt;"&amp;F139)+1)&amp;"º de "&amp;COUNT(F138:F144)</f>
        <v/>
      </c>
      <c r="G147" s="33">
        <f>(COUNTIF(G138:G144,"&lt;"&amp;G139)+1)&amp;"º de "&amp;COUNT(G138:G144)</f>
        <v/>
      </c>
      <c r="H147" s="30" t="n"/>
    </row>
    <row r="148">
      <c r="A148" s="28" t="inlineStr">
        <is>
          <t>RAJLOG x concorrente mais barato</t>
        </is>
      </c>
      <c r="B148" s="34">
        <f>B139/MIN(B138:B138,B140:B144)-1</f>
        <v/>
      </c>
      <c r="C148" s="34">
        <f>C139/MIN(C138:C138,C140:C144)-1</f>
        <v/>
      </c>
      <c r="D148" s="34">
        <f>D139/MIN(D138:D138,D140:D144)-1</f>
        <v/>
      </c>
      <c r="E148" s="34">
        <f>E139/MIN(E138:E138,E140:E144)-1</f>
        <v/>
      </c>
      <c r="F148" s="34">
        <f>F139/MIN(F138:F138,F140:F144)-1</f>
        <v/>
      </c>
      <c r="G148" s="34">
        <f>G139/MIN(G138:G138,G140:G144)-1</f>
        <v/>
      </c>
      <c r="H148" s="30" t="n"/>
    </row>
    <row r="149">
      <c r="A149" s="28" t="inlineStr">
        <is>
          <t>RAJLOG x média das demais</t>
        </is>
      </c>
      <c r="B149" s="34">
        <f>B139/((SUM(B138:B144)-B139)/(COUNT(B138:B144)-1))-1</f>
        <v/>
      </c>
      <c r="C149" s="34">
        <f>C139/((SUM(C138:C144)-C139)/(COUNT(C138:C144)-1))-1</f>
        <v/>
      </c>
      <c r="D149" s="34">
        <f>D139/((SUM(D138:D144)-D139)/(COUNT(D138:D144)-1))-1</f>
        <v/>
      </c>
      <c r="E149" s="34">
        <f>E139/((SUM(E138:E144)-E139)/(COUNT(E138:E144)-1))-1</f>
        <v/>
      </c>
      <c r="F149" s="34">
        <f>F139/((SUM(F138:F144)-F139)/(COUNT(F138:F144)-1))-1</f>
        <v/>
      </c>
      <c r="G149" s="34">
        <f>G139/((SUM(G138:G144)-G139)/(COUNT(G138:G144)-1))-1</f>
        <v/>
      </c>
      <c r="H149" s="30" t="n"/>
    </row>
    <row r="152">
      <c r="A152" s="22" t="inlineStr">
        <is>
          <t>Jandira - 06624-090</t>
        </is>
      </c>
      <c r="B152" s="23" t="n"/>
      <c r="C152" s="23" t="n"/>
      <c r="D152" s="23" t="n"/>
      <c r="E152" s="23" t="n"/>
      <c r="F152" s="23" t="n"/>
      <c r="G152" s="23" t="n"/>
      <c r="H152" s="23" t="n"/>
    </row>
    <row r="153">
      <c r="A153" s="24" t="inlineStr">
        <is>
          <t>Transportadora</t>
        </is>
      </c>
      <c r="B153" s="24" t="inlineStr">
        <is>
          <t>20 kg</t>
        </is>
      </c>
      <c r="C153" s="24" t="inlineStr">
        <is>
          <t>40 kg</t>
        </is>
      </c>
      <c r="D153" s="24" t="inlineStr">
        <is>
          <t>60 kg</t>
        </is>
      </c>
      <c r="E153" s="24" t="inlineStr">
        <is>
          <t>80 kg</t>
        </is>
      </c>
      <c r="F153" s="24" t="inlineStr">
        <is>
          <t>100 kg</t>
        </is>
      </c>
      <c r="G153" s="24" t="inlineStr">
        <is>
          <t>120 kg</t>
        </is>
      </c>
      <c r="H153" s="24" t="inlineStr">
        <is>
          <t>Prazo (dias)</t>
        </is>
      </c>
    </row>
    <row r="154">
      <c r="A154" s="14" t="inlineStr">
        <is>
          <t>TRANSIGA FILIAL SP</t>
        </is>
      </c>
      <c r="B154" s="25" t="n">
        <v>87.90000000000001</v>
      </c>
      <c r="C154" s="25" t="n">
        <v>109.6</v>
      </c>
      <c r="D154" s="25" t="n">
        <v>138.81</v>
      </c>
      <c r="E154" s="25" t="n">
        <v>170.43</v>
      </c>
      <c r="F154" s="25" t="n">
        <v>191.42</v>
      </c>
      <c r="G154" s="25" t="n">
        <v>240.4</v>
      </c>
      <c r="H154" s="4" t="n">
        <v>7</v>
      </c>
    </row>
    <row r="155">
      <c r="A155" s="26" t="inlineStr">
        <is>
          <t>RAJLOG</t>
        </is>
      </c>
      <c r="B155" s="27" t="n">
        <v>53.05</v>
      </c>
      <c r="C155" s="27" t="n">
        <v>81.65000000000001</v>
      </c>
      <c r="D155" s="27" t="n">
        <v>117.47</v>
      </c>
      <c r="E155" s="27" t="n">
        <v>158.41</v>
      </c>
      <c r="F155" s="27" t="n">
        <v>168.64</v>
      </c>
      <c r="G155" s="27" t="n">
        <v>221.03</v>
      </c>
      <c r="H155" s="8" t="n">
        <v>5</v>
      </c>
    </row>
    <row r="156">
      <c r="A156" s="14" t="inlineStr">
        <is>
          <t>Trans Sua Log - Standard</t>
        </is>
      </c>
      <c r="B156" s="25" t="n">
        <v>80.64</v>
      </c>
      <c r="C156" s="25" t="n">
        <v>97.81999999999999</v>
      </c>
      <c r="D156" s="25" t="n">
        <v>113.18</v>
      </c>
      <c r="E156" s="25" t="n">
        <v>133.72</v>
      </c>
      <c r="F156" s="25" t="n">
        <v>158.06</v>
      </c>
      <c r="G156" s="25" t="n">
        <v>185.63</v>
      </c>
      <c r="H156" s="4" t="n">
        <v>8</v>
      </c>
    </row>
    <row r="157">
      <c r="A157" s="14" t="inlineStr">
        <is>
          <t>Transvanio</t>
        </is>
      </c>
      <c r="B157" s="25" t="n">
        <v>85.23999999999999</v>
      </c>
      <c r="C157" s="25" t="n">
        <v>104.55</v>
      </c>
      <c r="D157" s="25" t="n">
        <v>123.98</v>
      </c>
      <c r="E157" s="25" t="n">
        <v>143.61</v>
      </c>
      <c r="F157" s="25" t="n">
        <v>163.14</v>
      </c>
      <c r="G157" s="25" t="n">
        <v>196.72</v>
      </c>
      <c r="H157" s="4" t="n">
        <v>4</v>
      </c>
    </row>
    <row r="158">
      <c r="A158" s="14" t="inlineStr">
        <is>
          <t>VM TRANSPORTES</t>
        </is>
      </c>
      <c r="B158" s="25" t="n">
        <v>77.33</v>
      </c>
      <c r="C158" s="25" t="n">
        <v>97.7</v>
      </c>
      <c r="D158" s="25" t="n">
        <v>142.07</v>
      </c>
      <c r="E158" s="25" t="n">
        <v>156.45</v>
      </c>
      <c r="F158" s="25" t="n">
        <v>170.84</v>
      </c>
      <c r="G158" s="25" t="n">
        <v>206.81</v>
      </c>
      <c r="H158" s="4" t="n">
        <v>8</v>
      </c>
    </row>
    <row r="159">
      <c r="A159" s="14" t="inlineStr">
        <is>
          <t>Trilog Express</t>
        </is>
      </c>
      <c r="B159" s="25" t="n">
        <v>134.89</v>
      </c>
      <c r="C159" s="25" t="n">
        <v>151.08</v>
      </c>
      <c r="D159" s="25" t="n">
        <v>164.28</v>
      </c>
      <c r="E159" s="25" t="n">
        <v>186.45</v>
      </c>
      <c r="F159" s="25" t="n">
        <v>196.68</v>
      </c>
      <c r="G159" s="25" t="n">
        <v>233.27</v>
      </c>
      <c r="H159" s="4" t="n">
        <v>7</v>
      </c>
    </row>
    <row r="160">
      <c r="A160" s="28" t="inlineStr">
        <is>
          <t>Menor valor</t>
        </is>
      </c>
      <c r="B160" s="29">
        <f>MIN(B154:B159)</f>
        <v/>
      </c>
      <c r="C160" s="29">
        <f>MIN(C154:C159)</f>
        <v/>
      </c>
      <c r="D160" s="29">
        <f>MIN(D154:D159)</f>
        <v/>
      </c>
      <c r="E160" s="29">
        <f>MIN(E154:E159)</f>
        <v/>
      </c>
      <c r="F160" s="29">
        <f>MIN(F154:F159)</f>
        <v/>
      </c>
      <c r="G160" s="29">
        <f>MIN(G154:G159)</f>
        <v/>
      </c>
      <c r="H160" s="30" t="n"/>
    </row>
    <row r="161">
      <c r="A161" s="28" t="inlineStr">
        <is>
          <t>Transportadora mais barata</t>
        </is>
      </c>
      <c r="B161" s="31">
        <f>INDEX($A$154:$A$159,MATCH(MIN(B154:B159),B154:B159,0))</f>
        <v/>
      </c>
      <c r="C161" s="31">
        <f>INDEX($A$154:$A$159,MATCH(MIN(C154:C159),C154:C159,0))</f>
        <v/>
      </c>
      <c r="D161" s="31">
        <f>INDEX($A$154:$A$159,MATCH(MIN(D154:D159),D154:D159,0))</f>
        <v/>
      </c>
      <c r="E161" s="31">
        <f>INDEX($A$154:$A$159,MATCH(MIN(E154:E159),E154:E159,0))</f>
        <v/>
      </c>
      <c r="F161" s="31">
        <f>INDEX($A$154:$A$159,MATCH(MIN(F154:F159),F154:F159,0))</f>
        <v/>
      </c>
      <c r="G161" s="31">
        <f>INDEX($A$154:$A$159,MATCH(MIN(G154:G159),G154:G159,0))</f>
        <v/>
      </c>
      <c r="H161" s="32" t="n"/>
    </row>
    <row r="162">
      <c r="A162" s="28" t="inlineStr">
        <is>
          <t>Posição RAJLOG</t>
        </is>
      </c>
      <c r="B162" s="33">
        <f>(COUNTIF(B154:B159,"&lt;"&amp;B155)+1)&amp;"º de "&amp;COUNT(B154:B159)</f>
        <v/>
      </c>
      <c r="C162" s="33">
        <f>(COUNTIF(C154:C159,"&lt;"&amp;C155)+1)&amp;"º de "&amp;COUNT(C154:C159)</f>
        <v/>
      </c>
      <c r="D162" s="33">
        <f>(COUNTIF(D154:D159,"&lt;"&amp;D155)+1)&amp;"º de "&amp;COUNT(D154:D159)</f>
        <v/>
      </c>
      <c r="E162" s="33">
        <f>(COUNTIF(E154:E159,"&lt;"&amp;E155)+1)&amp;"º de "&amp;COUNT(E154:E159)</f>
        <v/>
      </c>
      <c r="F162" s="33">
        <f>(COUNTIF(F154:F159,"&lt;"&amp;F155)+1)&amp;"º de "&amp;COUNT(F154:F159)</f>
        <v/>
      </c>
      <c r="G162" s="33">
        <f>(COUNTIF(G154:G159,"&lt;"&amp;G155)+1)&amp;"º de "&amp;COUNT(G154:G159)</f>
        <v/>
      </c>
      <c r="H162" s="30" t="n"/>
    </row>
    <row r="163">
      <c r="A163" s="28" t="inlineStr">
        <is>
          <t>RAJLOG x concorrente mais barato</t>
        </is>
      </c>
      <c r="B163" s="34">
        <f>B155/MIN(B154:B154,B156:B159)-1</f>
        <v/>
      </c>
      <c r="C163" s="34">
        <f>C155/MIN(C154:C154,C156:C159)-1</f>
        <v/>
      </c>
      <c r="D163" s="34">
        <f>D155/MIN(D154:D154,D156:D159)-1</f>
        <v/>
      </c>
      <c r="E163" s="34">
        <f>E155/MIN(E154:E154,E156:E159)-1</f>
        <v/>
      </c>
      <c r="F163" s="34">
        <f>F155/MIN(F154:F154,F156:F159)-1</f>
        <v/>
      </c>
      <c r="G163" s="34">
        <f>G155/MIN(G154:G154,G156:G159)-1</f>
        <v/>
      </c>
      <c r="H163" s="30" t="n"/>
    </row>
    <row r="164">
      <c r="A164" s="28" t="inlineStr">
        <is>
          <t>RAJLOG x média das demais</t>
        </is>
      </c>
      <c r="B164" s="34">
        <f>B155/((SUM(B154:B159)-B155)/(COUNT(B154:B159)-1))-1</f>
        <v/>
      </c>
      <c r="C164" s="34">
        <f>C155/((SUM(C154:C159)-C155)/(COUNT(C154:C159)-1))-1</f>
        <v/>
      </c>
      <c r="D164" s="34">
        <f>D155/((SUM(D154:D159)-D155)/(COUNT(D154:D159)-1))-1</f>
        <v/>
      </c>
      <c r="E164" s="34">
        <f>E155/((SUM(E154:E159)-E155)/(COUNT(E154:E159)-1))-1</f>
        <v/>
      </c>
      <c r="F164" s="34">
        <f>F155/((SUM(F154:F159)-F155)/(COUNT(F154:F159)-1))-1</f>
        <v/>
      </c>
      <c r="G164" s="34">
        <f>G155/((SUM(G154:G159)-G155)/(COUNT(G154:G159)-1))-1</f>
        <v/>
      </c>
      <c r="H164" s="30" t="n"/>
    </row>
    <row r="167">
      <c r="A167" s="22" t="inlineStr">
        <is>
          <t>Mairiporã - 07629-694</t>
        </is>
      </c>
      <c r="B167" s="23" t="n"/>
      <c r="C167" s="23" t="n"/>
      <c r="D167" s="23" t="n"/>
      <c r="E167" s="23" t="n"/>
      <c r="F167" s="23" t="n"/>
      <c r="G167" s="23" t="n"/>
      <c r="H167" s="23" t="n"/>
    </row>
    <row r="168">
      <c r="A168" s="24" t="inlineStr">
        <is>
          <t>Transportadora</t>
        </is>
      </c>
      <c r="B168" s="24" t="inlineStr">
        <is>
          <t>20 kg</t>
        </is>
      </c>
      <c r="C168" s="24" t="inlineStr">
        <is>
          <t>40 kg</t>
        </is>
      </c>
      <c r="D168" s="24" t="inlineStr">
        <is>
          <t>60 kg</t>
        </is>
      </c>
      <c r="E168" s="24" t="inlineStr">
        <is>
          <t>80 kg</t>
        </is>
      </c>
      <c r="F168" s="24" t="inlineStr">
        <is>
          <t>100 kg</t>
        </is>
      </c>
      <c r="G168" s="24" t="inlineStr">
        <is>
          <t>120 kg</t>
        </is>
      </c>
      <c r="H168" s="24" t="inlineStr">
        <is>
          <t>Prazo (dias)</t>
        </is>
      </c>
    </row>
    <row r="169">
      <c r="A169" s="14" t="inlineStr">
        <is>
          <t>TRANSIGA FILIAL SP</t>
        </is>
      </c>
      <c r="B169" s="25" t="n">
        <v>114.32</v>
      </c>
      <c r="C169" s="25" t="n">
        <v>144.9</v>
      </c>
      <c r="D169" s="25" t="n">
        <v>171.08</v>
      </c>
      <c r="E169" s="25" t="n">
        <v>204.49</v>
      </c>
      <c r="F169" s="25" t="n">
        <v>226.76</v>
      </c>
      <c r="G169" s="25" t="n">
        <v>266.48</v>
      </c>
      <c r="H169" s="4" t="n">
        <v>10</v>
      </c>
    </row>
    <row r="170">
      <c r="A170" s="26" t="inlineStr">
        <is>
          <t>RAJLOG</t>
        </is>
      </c>
      <c r="B170" s="27" t="n">
        <v>53.05</v>
      </c>
      <c r="C170" s="27" t="n">
        <v>81.65000000000001</v>
      </c>
      <c r="D170" s="27" t="n">
        <v>117.47</v>
      </c>
      <c r="E170" s="27" t="n">
        <v>158.41</v>
      </c>
      <c r="F170" s="27" t="n">
        <v>168.64</v>
      </c>
      <c r="G170" s="27" t="n">
        <v>221.03</v>
      </c>
      <c r="H170" s="8" t="n">
        <v>5</v>
      </c>
    </row>
    <row r="171">
      <c r="A171" s="14" t="inlineStr">
        <is>
          <t>Trans Sua Log - Standard</t>
        </is>
      </c>
      <c r="B171" s="25" t="n">
        <v>80.64</v>
      </c>
      <c r="C171" s="25" t="n">
        <v>97.81999999999999</v>
      </c>
      <c r="D171" s="25" t="n">
        <v>113.18</v>
      </c>
      <c r="E171" s="25" t="n">
        <v>133.72</v>
      </c>
      <c r="F171" s="25" t="n">
        <v>158.06</v>
      </c>
      <c r="G171" s="25" t="n">
        <v>185.63</v>
      </c>
      <c r="H171" s="4" t="n">
        <v>8</v>
      </c>
    </row>
    <row r="172">
      <c r="A172" s="14" t="inlineStr">
        <is>
          <t>Transvanio</t>
        </is>
      </c>
      <c r="B172" s="25" t="n">
        <v>155.69</v>
      </c>
      <c r="C172" s="25" t="n">
        <v>172.73</v>
      </c>
      <c r="D172" s="25" t="n">
        <v>192.16</v>
      </c>
      <c r="E172" s="25" t="n">
        <v>211.8</v>
      </c>
      <c r="F172" s="25" t="n">
        <v>231.32</v>
      </c>
      <c r="G172" s="25" t="n">
        <v>264.9</v>
      </c>
      <c r="H172" s="4" t="n">
        <v>6</v>
      </c>
    </row>
    <row r="173">
      <c r="A173" s="14" t="inlineStr">
        <is>
          <t>Trilog Express</t>
        </is>
      </c>
      <c r="B173" s="25" t="n">
        <v>134.89</v>
      </c>
      <c r="C173" s="25" t="n">
        <v>151.08</v>
      </c>
      <c r="D173" s="25" t="n">
        <v>164.28</v>
      </c>
      <c r="E173" s="25" t="n">
        <v>186.45</v>
      </c>
      <c r="F173" s="25" t="n">
        <v>196.68</v>
      </c>
      <c r="G173" s="25" t="n">
        <v>233.27</v>
      </c>
      <c r="H173" s="4" t="n">
        <v>7</v>
      </c>
    </row>
    <row r="174">
      <c r="A174" s="28" t="inlineStr">
        <is>
          <t>Menor valor</t>
        </is>
      </c>
      <c r="B174" s="29">
        <f>MIN(B169:B173)</f>
        <v/>
      </c>
      <c r="C174" s="29">
        <f>MIN(C169:C173)</f>
        <v/>
      </c>
      <c r="D174" s="29">
        <f>MIN(D169:D173)</f>
        <v/>
      </c>
      <c r="E174" s="29">
        <f>MIN(E169:E173)</f>
        <v/>
      </c>
      <c r="F174" s="29">
        <f>MIN(F169:F173)</f>
        <v/>
      </c>
      <c r="G174" s="29">
        <f>MIN(G169:G173)</f>
        <v/>
      </c>
      <c r="H174" s="30" t="n"/>
    </row>
    <row r="175">
      <c r="A175" s="28" t="inlineStr">
        <is>
          <t>Transportadora mais barata</t>
        </is>
      </c>
      <c r="B175" s="31">
        <f>INDEX($A$169:$A$173,MATCH(MIN(B169:B173),B169:B173,0))</f>
        <v/>
      </c>
      <c r="C175" s="31">
        <f>INDEX($A$169:$A$173,MATCH(MIN(C169:C173),C169:C173,0))</f>
        <v/>
      </c>
      <c r="D175" s="31">
        <f>INDEX($A$169:$A$173,MATCH(MIN(D169:D173),D169:D173,0))</f>
        <v/>
      </c>
      <c r="E175" s="31">
        <f>INDEX($A$169:$A$173,MATCH(MIN(E169:E173),E169:E173,0))</f>
        <v/>
      </c>
      <c r="F175" s="31">
        <f>INDEX($A$169:$A$173,MATCH(MIN(F169:F173),F169:F173,0))</f>
        <v/>
      </c>
      <c r="G175" s="31">
        <f>INDEX($A$169:$A$173,MATCH(MIN(G169:G173),G169:G173,0))</f>
        <v/>
      </c>
      <c r="H175" s="32" t="n"/>
    </row>
    <row r="176">
      <c r="A176" s="28" t="inlineStr">
        <is>
          <t>Posição RAJLOG</t>
        </is>
      </c>
      <c r="B176" s="33">
        <f>(COUNTIF(B169:B173,"&lt;"&amp;B170)+1)&amp;"º de "&amp;COUNT(B169:B173)</f>
        <v/>
      </c>
      <c r="C176" s="33">
        <f>(COUNTIF(C169:C173,"&lt;"&amp;C170)+1)&amp;"º de "&amp;COUNT(C169:C173)</f>
        <v/>
      </c>
      <c r="D176" s="33">
        <f>(COUNTIF(D169:D173,"&lt;"&amp;D170)+1)&amp;"º de "&amp;COUNT(D169:D173)</f>
        <v/>
      </c>
      <c r="E176" s="33">
        <f>(COUNTIF(E169:E173,"&lt;"&amp;E170)+1)&amp;"º de "&amp;COUNT(E169:E173)</f>
        <v/>
      </c>
      <c r="F176" s="33">
        <f>(COUNTIF(F169:F173,"&lt;"&amp;F170)+1)&amp;"º de "&amp;COUNT(F169:F173)</f>
        <v/>
      </c>
      <c r="G176" s="33">
        <f>(COUNTIF(G169:G173,"&lt;"&amp;G170)+1)&amp;"º de "&amp;COUNT(G169:G173)</f>
        <v/>
      </c>
      <c r="H176" s="30" t="n"/>
    </row>
    <row r="177">
      <c r="A177" s="28" t="inlineStr">
        <is>
          <t>RAJLOG x concorrente mais barato</t>
        </is>
      </c>
      <c r="B177" s="34">
        <f>B170/MIN(B169:B169,B171:B173)-1</f>
        <v/>
      </c>
      <c r="C177" s="34">
        <f>C170/MIN(C169:C169,C171:C173)-1</f>
        <v/>
      </c>
      <c r="D177" s="34">
        <f>D170/MIN(D169:D169,D171:D173)-1</f>
        <v/>
      </c>
      <c r="E177" s="34">
        <f>E170/MIN(E169:E169,E171:E173)-1</f>
        <v/>
      </c>
      <c r="F177" s="34">
        <f>F170/MIN(F169:F169,F171:F173)-1</f>
        <v/>
      </c>
      <c r="G177" s="34">
        <f>G170/MIN(G169:G169,G171:G173)-1</f>
        <v/>
      </c>
      <c r="H177" s="30" t="n"/>
    </row>
    <row r="178">
      <c r="A178" s="28" t="inlineStr">
        <is>
          <t>RAJLOG x média das demais</t>
        </is>
      </c>
      <c r="B178" s="34">
        <f>B170/((SUM(B169:B173)-B170)/(COUNT(B169:B173)-1))-1</f>
        <v/>
      </c>
      <c r="C178" s="34">
        <f>C170/((SUM(C169:C173)-C170)/(COUNT(C169:C173)-1))-1</f>
        <v/>
      </c>
      <c r="D178" s="34">
        <f>D170/((SUM(D169:D173)-D170)/(COUNT(D169:D173)-1))-1</f>
        <v/>
      </c>
      <c r="E178" s="34">
        <f>E170/((SUM(E169:E173)-E170)/(COUNT(E169:E173)-1))-1</f>
        <v/>
      </c>
      <c r="F178" s="34">
        <f>F170/((SUM(F169:F173)-F170)/(COUNT(F169:F173)-1))-1</f>
        <v/>
      </c>
      <c r="G178" s="34">
        <f>G170/((SUM(G169:G173)-G170)/(COUNT(G169:G173)-1))-1</f>
        <v/>
      </c>
      <c r="H178" s="30" t="n"/>
    </row>
    <row r="181">
      <c r="A181" s="22" t="inlineStr">
        <is>
          <t>Mauá - 09390-650</t>
        </is>
      </c>
      <c r="B181" s="23" t="n"/>
      <c r="C181" s="23" t="n"/>
      <c r="D181" s="23" t="n"/>
      <c r="E181" s="23" t="n"/>
      <c r="F181" s="23" t="n"/>
      <c r="G181" s="23" t="n"/>
      <c r="H181" s="23" t="n"/>
    </row>
    <row r="182">
      <c r="A182" s="24" t="inlineStr">
        <is>
          <t>Transportadora</t>
        </is>
      </c>
      <c r="B182" s="24" t="inlineStr">
        <is>
          <t>20 kg</t>
        </is>
      </c>
      <c r="C182" s="24" t="inlineStr">
        <is>
          <t>40 kg</t>
        </is>
      </c>
      <c r="D182" s="24" t="inlineStr">
        <is>
          <t>60 kg</t>
        </is>
      </c>
      <c r="E182" s="24" t="inlineStr">
        <is>
          <t>80 kg</t>
        </is>
      </c>
      <c r="F182" s="24" t="inlineStr">
        <is>
          <t>100 kg</t>
        </is>
      </c>
      <c r="G182" s="24" t="inlineStr">
        <is>
          <t>120 kg</t>
        </is>
      </c>
      <c r="H182" s="24" t="inlineStr">
        <is>
          <t>Prazo (dias)</t>
        </is>
      </c>
    </row>
    <row r="183">
      <c r="A183" s="14" t="inlineStr">
        <is>
          <t>TRANSIGA FILIAL SP</t>
        </is>
      </c>
      <c r="B183" s="25" t="n">
        <v>87.90000000000001</v>
      </c>
      <c r="C183" s="25" t="n">
        <v>109.6</v>
      </c>
      <c r="D183" s="25" t="n">
        <v>138.81</v>
      </c>
      <c r="E183" s="25" t="n">
        <v>170.43</v>
      </c>
      <c r="F183" s="25" t="n">
        <v>191.42</v>
      </c>
      <c r="G183" s="25" t="n">
        <v>240.4</v>
      </c>
      <c r="H183" s="4" t="n">
        <v>9</v>
      </c>
    </row>
    <row r="184">
      <c r="A184" s="26" t="inlineStr">
        <is>
          <t>RAJLOG</t>
        </is>
      </c>
      <c r="B184" s="27" t="n">
        <v>53.05</v>
      </c>
      <c r="C184" s="27" t="n">
        <v>81.65000000000001</v>
      </c>
      <c r="D184" s="27" t="n">
        <v>117.47</v>
      </c>
      <c r="E184" s="27" t="n">
        <v>158.41</v>
      </c>
      <c r="F184" s="27" t="n">
        <v>168.64</v>
      </c>
      <c r="G184" s="27" t="n">
        <v>221.03</v>
      </c>
      <c r="H184" s="8" t="n">
        <v>5</v>
      </c>
    </row>
    <row r="185">
      <c r="A185" s="14" t="inlineStr">
        <is>
          <t>Trans Sua Log - Standard</t>
        </is>
      </c>
      <c r="B185" s="25" t="n">
        <v>80.64</v>
      </c>
      <c r="C185" s="25" t="n">
        <v>97.81999999999999</v>
      </c>
      <c r="D185" s="25" t="n">
        <v>113.18</v>
      </c>
      <c r="E185" s="25" t="n">
        <v>133.72</v>
      </c>
      <c r="F185" s="25" t="n">
        <v>158.06</v>
      </c>
      <c r="G185" s="25" t="n">
        <v>185.63</v>
      </c>
      <c r="H185" s="4" t="n">
        <v>8</v>
      </c>
    </row>
    <row r="186">
      <c r="A186" s="14" t="inlineStr">
        <is>
          <t>Transvanio</t>
        </is>
      </c>
      <c r="B186" s="25" t="n">
        <v>85.23999999999999</v>
      </c>
      <c r="C186" s="25" t="n">
        <v>104.55</v>
      </c>
      <c r="D186" s="25" t="n">
        <v>123.98</v>
      </c>
      <c r="E186" s="25" t="n">
        <v>143.61</v>
      </c>
      <c r="F186" s="25" t="n">
        <v>163.14</v>
      </c>
      <c r="G186" s="25" t="n">
        <v>196.72</v>
      </c>
      <c r="H186" s="4" t="n">
        <v>4</v>
      </c>
    </row>
    <row r="187">
      <c r="A187" s="14" t="inlineStr">
        <is>
          <t>Zelog Standard</t>
        </is>
      </c>
      <c r="B187" s="25" t="n">
        <v>78.43000000000001</v>
      </c>
      <c r="C187" s="25" t="n">
        <v>95.93000000000001</v>
      </c>
      <c r="D187" s="25" t="n">
        <v>120.32</v>
      </c>
      <c r="E187" s="25" t="n">
        <v>144.7</v>
      </c>
      <c r="F187" s="25" t="n">
        <v>154.93</v>
      </c>
      <c r="G187" s="25" t="n">
        <v>176.81</v>
      </c>
      <c r="H187" s="4" t="n">
        <v>4</v>
      </c>
    </row>
    <row r="188">
      <c r="A188" s="14" t="inlineStr">
        <is>
          <t>Trilog Express</t>
        </is>
      </c>
      <c r="B188" s="25" t="n">
        <v>151.93</v>
      </c>
      <c r="C188" s="25" t="n">
        <v>168.13</v>
      </c>
      <c r="D188" s="25" t="n">
        <v>181.33</v>
      </c>
      <c r="E188" s="25" t="n">
        <v>203.5</v>
      </c>
      <c r="F188" s="25" t="n">
        <v>213.73</v>
      </c>
      <c r="G188" s="25" t="n">
        <v>250.32</v>
      </c>
      <c r="H188" s="4" t="n">
        <v>7</v>
      </c>
    </row>
    <row r="189">
      <c r="A189" s="28" t="inlineStr">
        <is>
          <t>Menor valor</t>
        </is>
      </c>
      <c r="B189" s="29">
        <f>MIN(B183:B188)</f>
        <v/>
      </c>
      <c r="C189" s="29">
        <f>MIN(C183:C188)</f>
        <v/>
      </c>
      <c r="D189" s="29">
        <f>MIN(D183:D188)</f>
        <v/>
      </c>
      <c r="E189" s="29">
        <f>MIN(E183:E188)</f>
        <v/>
      </c>
      <c r="F189" s="29">
        <f>MIN(F183:F188)</f>
        <v/>
      </c>
      <c r="G189" s="29">
        <f>MIN(G183:G188)</f>
        <v/>
      </c>
      <c r="H189" s="30" t="n"/>
    </row>
    <row r="190">
      <c r="A190" s="28" t="inlineStr">
        <is>
          <t>Transportadora mais barata</t>
        </is>
      </c>
      <c r="B190" s="31">
        <f>INDEX($A$183:$A$188,MATCH(MIN(B183:B188),B183:B188,0))</f>
        <v/>
      </c>
      <c r="C190" s="31">
        <f>INDEX($A$183:$A$188,MATCH(MIN(C183:C188),C183:C188,0))</f>
        <v/>
      </c>
      <c r="D190" s="31">
        <f>INDEX($A$183:$A$188,MATCH(MIN(D183:D188),D183:D188,0))</f>
        <v/>
      </c>
      <c r="E190" s="31">
        <f>INDEX($A$183:$A$188,MATCH(MIN(E183:E188),E183:E188,0))</f>
        <v/>
      </c>
      <c r="F190" s="31">
        <f>INDEX($A$183:$A$188,MATCH(MIN(F183:F188),F183:F188,0))</f>
        <v/>
      </c>
      <c r="G190" s="31">
        <f>INDEX($A$183:$A$188,MATCH(MIN(G183:G188),G183:G188,0))</f>
        <v/>
      </c>
      <c r="H190" s="32" t="n"/>
    </row>
    <row r="191">
      <c r="A191" s="28" t="inlineStr">
        <is>
          <t>Posição RAJLOG</t>
        </is>
      </c>
      <c r="B191" s="33">
        <f>(COUNTIF(B183:B188,"&lt;"&amp;B184)+1)&amp;"º de "&amp;COUNT(B183:B188)</f>
        <v/>
      </c>
      <c r="C191" s="33">
        <f>(COUNTIF(C183:C188,"&lt;"&amp;C184)+1)&amp;"º de "&amp;COUNT(C183:C188)</f>
        <v/>
      </c>
      <c r="D191" s="33">
        <f>(COUNTIF(D183:D188,"&lt;"&amp;D184)+1)&amp;"º de "&amp;COUNT(D183:D188)</f>
        <v/>
      </c>
      <c r="E191" s="33">
        <f>(COUNTIF(E183:E188,"&lt;"&amp;E184)+1)&amp;"º de "&amp;COUNT(E183:E188)</f>
        <v/>
      </c>
      <c r="F191" s="33">
        <f>(COUNTIF(F183:F188,"&lt;"&amp;F184)+1)&amp;"º de "&amp;COUNT(F183:F188)</f>
        <v/>
      </c>
      <c r="G191" s="33">
        <f>(COUNTIF(G183:G188,"&lt;"&amp;G184)+1)&amp;"º de "&amp;COUNT(G183:G188)</f>
        <v/>
      </c>
      <c r="H191" s="30" t="n"/>
    </row>
    <row r="192">
      <c r="A192" s="28" t="inlineStr">
        <is>
          <t>RAJLOG x concorrente mais barato</t>
        </is>
      </c>
      <c r="B192" s="34">
        <f>B184/MIN(B183:B183,B185:B188)-1</f>
        <v/>
      </c>
      <c r="C192" s="34">
        <f>C184/MIN(C183:C183,C185:C188)-1</f>
        <v/>
      </c>
      <c r="D192" s="34">
        <f>D184/MIN(D183:D183,D185:D188)-1</f>
        <v/>
      </c>
      <c r="E192" s="34">
        <f>E184/MIN(E183:E183,E185:E188)-1</f>
        <v/>
      </c>
      <c r="F192" s="34">
        <f>F184/MIN(F183:F183,F185:F188)-1</f>
        <v/>
      </c>
      <c r="G192" s="34">
        <f>G184/MIN(G183:G183,G185:G188)-1</f>
        <v/>
      </c>
      <c r="H192" s="30" t="n"/>
    </row>
    <row r="193">
      <c r="A193" s="28" t="inlineStr">
        <is>
          <t>RAJLOG x média das demais</t>
        </is>
      </c>
      <c r="B193" s="34">
        <f>B184/((SUM(B183:B188)-B184)/(COUNT(B183:B188)-1))-1</f>
        <v/>
      </c>
      <c r="C193" s="34">
        <f>C184/((SUM(C183:C188)-C184)/(COUNT(C183:C188)-1))-1</f>
        <v/>
      </c>
      <c r="D193" s="34">
        <f>D184/((SUM(D183:D188)-D184)/(COUNT(D183:D188)-1))-1</f>
        <v/>
      </c>
      <c r="E193" s="34">
        <f>E184/((SUM(E183:E188)-E184)/(COUNT(E183:E188)-1))-1</f>
        <v/>
      </c>
      <c r="F193" s="34">
        <f>F184/((SUM(F183:F188)-F184)/(COUNT(F183:F188)-1))-1</f>
        <v/>
      </c>
      <c r="G193" s="34">
        <f>G184/((SUM(G183:G188)-G184)/(COUNT(G183:G188)-1))-1</f>
        <v/>
      </c>
      <c r="H193" s="30" t="n"/>
    </row>
    <row r="196">
      <c r="A196" s="22" t="inlineStr">
        <is>
          <t>Mogi das Cruzes - 08750-760</t>
        </is>
      </c>
      <c r="B196" s="23" t="n"/>
      <c r="C196" s="23" t="n"/>
      <c r="D196" s="23" t="n"/>
      <c r="E196" s="23" t="n"/>
      <c r="F196" s="23" t="n"/>
      <c r="G196" s="23" t="n"/>
      <c r="H196" s="23" t="n"/>
    </row>
    <row r="197">
      <c r="A197" s="24" t="inlineStr">
        <is>
          <t>Transportadora</t>
        </is>
      </c>
      <c r="B197" s="24" t="inlineStr">
        <is>
          <t>20 kg</t>
        </is>
      </c>
      <c r="C197" s="24" t="inlineStr">
        <is>
          <t>40 kg</t>
        </is>
      </c>
      <c r="D197" s="24" t="inlineStr">
        <is>
          <t>60 kg</t>
        </is>
      </c>
      <c r="E197" s="24" t="inlineStr">
        <is>
          <t>80 kg</t>
        </is>
      </c>
      <c r="F197" s="24" t="inlineStr">
        <is>
          <t>100 kg</t>
        </is>
      </c>
      <c r="G197" s="24" t="inlineStr">
        <is>
          <t>120 kg</t>
        </is>
      </c>
      <c r="H197" s="24" t="inlineStr">
        <is>
          <t>Prazo (dias)</t>
        </is>
      </c>
    </row>
    <row r="198">
      <c r="A198" s="14" t="inlineStr">
        <is>
          <t>TRANSIGA FILIAL SP</t>
        </is>
      </c>
      <c r="B198" s="25" t="n">
        <v>87.90000000000001</v>
      </c>
      <c r="C198" s="25" t="n">
        <v>109.6</v>
      </c>
      <c r="D198" s="25" t="n">
        <v>138.81</v>
      </c>
      <c r="E198" s="25" t="n">
        <v>170.43</v>
      </c>
      <c r="F198" s="25" t="n">
        <v>191.42</v>
      </c>
      <c r="G198" s="25" t="n">
        <v>240.4</v>
      </c>
      <c r="H198" s="4" t="n">
        <v>7</v>
      </c>
    </row>
    <row r="199">
      <c r="A199" s="26" t="inlineStr">
        <is>
          <t>RAJLOG</t>
        </is>
      </c>
      <c r="B199" s="27" t="n">
        <v>53.05</v>
      </c>
      <c r="C199" s="27" t="n">
        <v>81.65000000000001</v>
      </c>
      <c r="D199" s="27" t="n">
        <v>117.47</v>
      </c>
      <c r="E199" s="27" t="n">
        <v>158.41</v>
      </c>
      <c r="F199" s="27" t="n">
        <v>168.64</v>
      </c>
      <c r="G199" s="27" t="n">
        <v>221.03</v>
      </c>
      <c r="H199" s="8" t="n">
        <v>5</v>
      </c>
    </row>
    <row r="200">
      <c r="A200" s="14" t="inlineStr">
        <is>
          <t>Trans Sua Log - Standard</t>
        </is>
      </c>
      <c r="B200" s="25" t="n">
        <v>80.64</v>
      </c>
      <c r="C200" s="25" t="n">
        <v>97.81999999999999</v>
      </c>
      <c r="D200" s="25" t="n">
        <v>113.18</v>
      </c>
      <c r="E200" s="25" t="n">
        <v>133.72</v>
      </c>
      <c r="F200" s="25" t="n">
        <v>158.06</v>
      </c>
      <c r="G200" s="25" t="n">
        <v>185.63</v>
      </c>
      <c r="H200" s="4" t="n">
        <v>8</v>
      </c>
    </row>
    <row r="201">
      <c r="A201" s="14" t="inlineStr">
        <is>
          <t>Transvanio</t>
        </is>
      </c>
      <c r="B201" s="25" t="n">
        <v>153.42</v>
      </c>
      <c r="C201" s="25" t="n">
        <v>172.73</v>
      </c>
      <c r="D201" s="25" t="n">
        <v>192.16</v>
      </c>
      <c r="E201" s="25" t="n">
        <v>211.8</v>
      </c>
      <c r="F201" s="25" t="n">
        <v>231.32</v>
      </c>
      <c r="G201" s="25" t="n">
        <v>264.9</v>
      </c>
      <c r="H201" s="4" t="n">
        <v>4</v>
      </c>
    </row>
    <row r="202">
      <c r="A202" s="14" t="inlineStr">
        <is>
          <t>VM TRANSPORTES</t>
        </is>
      </c>
      <c r="B202" s="25" t="n">
        <v>77.33</v>
      </c>
      <c r="C202" s="25" t="n">
        <v>97.7</v>
      </c>
      <c r="D202" s="25" t="n">
        <v>142.07</v>
      </c>
      <c r="E202" s="25" t="n">
        <v>156.45</v>
      </c>
      <c r="F202" s="25" t="n">
        <v>170.84</v>
      </c>
      <c r="G202" s="25" t="n">
        <v>206.81</v>
      </c>
      <c r="H202" s="4" t="n">
        <v>8</v>
      </c>
    </row>
    <row r="203">
      <c r="A203" s="14" t="inlineStr">
        <is>
          <t>Zelog Standard</t>
        </is>
      </c>
      <c r="B203" s="25" t="n">
        <v>88.63</v>
      </c>
      <c r="C203" s="25" t="n">
        <v>102.34</v>
      </c>
      <c r="D203" s="25" t="n">
        <v>129.24</v>
      </c>
      <c r="E203" s="25" t="n">
        <v>156.11</v>
      </c>
      <c r="F203" s="25" t="n">
        <v>166.34</v>
      </c>
      <c r="G203" s="25" t="n">
        <v>187.72</v>
      </c>
      <c r="H203" s="4" t="n">
        <v>4</v>
      </c>
    </row>
    <row r="204">
      <c r="A204" s="14" t="inlineStr">
        <is>
          <t>Trilog Express</t>
        </is>
      </c>
      <c r="B204" s="25" t="n">
        <v>134.89</v>
      </c>
      <c r="C204" s="25" t="n">
        <v>151.08</v>
      </c>
      <c r="D204" s="25" t="n">
        <v>164.28</v>
      </c>
      <c r="E204" s="25" t="n">
        <v>186.45</v>
      </c>
      <c r="F204" s="25" t="n">
        <v>196.68</v>
      </c>
      <c r="G204" s="25" t="n">
        <v>233.27</v>
      </c>
      <c r="H204" s="4" t="n">
        <v>7</v>
      </c>
    </row>
    <row r="205">
      <c r="A205" s="28" t="inlineStr">
        <is>
          <t>Menor valor</t>
        </is>
      </c>
      <c r="B205" s="29">
        <f>MIN(B198:B204)</f>
        <v/>
      </c>
      <c r="C205" s="29">
        <f>MIN(C198:C204)</f>
        <v/>
      </c>
      <c r="D205" s="29">
        <f>MIN(D198:D204)</f>
        <v/>
      </c>
      <c r="E205" s="29">
        <f>MIN(E198:E204)</f>
        <v/>
      </c>
      <c r="F205" s="29">
        <f>MIN(F198:F204)</f>
        <v/>
      </c>
      <c r="G205" s="29">
        <f>MIN(G198:G204)</f>
        <v/>
      </c>
      <c r="H205" s="30" t="n"/>
    </row>
    <row r="206">
      <c r="A206" s="28" t="inlineStr">
        <is>
          <t>Transportadora mais barata</t>
        </is>
      </c>
      <c r="B206" s="31">
        <f>INDEX($A$198:$A$204,MATCH(MIN(B198:B204),B198:B204,0))</f>
        <v/>
      </c>
      <c r="C206" s="31">
        <f>INDEX($A$198:$A$204,MATCH(MIN(C198:C204),C198:C204,0))</f>
        <v/>
      </c>
      <c r="D206" s="31">
        <f>INDEX($A$198:$A$204,MATCH(MIN(D198:D204),D198:D204,0))</f>
        <v/>
      </c>
      <c r="E206" s="31">
        <f>INDEX($A$198:$A$204,MATCH(MIN(E198:E204),E198:E204,0))</f>
        <v/>
      </c>
      <c r="F206" s="31">
        <f>INDEX($A$198:$A$204,MATCH(MIN(F198:F204),F198:F204,0))</f>
        <v/>
      </c>
      <c r="G206" s="31">
        <f>INDEX($A$198:$A$204,MATCH(MIN(G198:G204),G198:G204,0))</f>
        <v/>
      </c>
      <c r="H206" s="32" t="n"/>
    </row>
    <row r="207">
      <c r="A207" s="28" t="inlineStr">
        <is>
          <t>Posição RAJLOG</t>
        </is>
      </c>
      <c r="B207" s="33">
        <f>(COUNTIF(B198:B204,"&lt;"&amp;B199)+1)&amp;"º de "&amp;COUNT(B198:B204)</f>
        <v/>
      </c>
      <c r="C207" s="33">
        <f>(COUNTIF(C198:C204,"&lt;"&amp;C199)+1)&amp;"º de "&amp;COUNT(C198:C204)</f>
        <v/>
      </c>
      <c r="D207" s="33">
        <f>(COUNTIF(D198:D204,"&lt;"&amp;D199)+1)&amp;"º de "&amp;COUNT(D198:D204)</f>
        <v/>
      </c>
      <c r="E207" s="33">
        <f>(COUNTIF(E198:E204,"&lt;"&amp;E199)+1)&amp;"º de "&amp;COUNT(E198:E204)</f>
        <v/>
      </c>
      <c r="F207" s="33">
        <f>(COUNTIF(F198:F204,"&lt;"&amp;F199)+1)&amp;"º de "&amp;COUNT(F198:F204)</f>
        <v/>
      </c>
      <c r="G207" s="33">
        <f>(COUNTIF(G198:G204,"&lt;"&amp;G199)+1)&amp;"º de "&amp;COUNT(G198:G204)</f>
        <v/>
      </c>
      <c r="H207" s="30" t="n"/>
    </row>
    <row r="208">
      <c r="A208" s="28" t="inlineStr">
        <is>
          <t>RAJLOG x concorrente mais barato</t>
        </is>
      </c>
      <c r="B208" s="34">
        <f>B199/MIN(B198:B198,B200:B204)-1</f>
        <v/>
      </c>
      <c r="C208" s="34">
        <f>C199/MIN(C198:C198,C200:C204)-1</f>
        <v/>
      </c>
      <c r="D208" s="34">
        <f>D199/MIN(D198:D198,D200:D204)-1</f>
        <v/>
      </c>
      <c r="E208" s="34">
        <f>E199/MIN(E198:E198,E200:E204)-1</f>
        <v/>
      </c>
      <c r="F208" s="34">
        <f>F199/MIN(F198:F198,F200:F204)-1</f>
        <v/>
      </c>
      <c r="G208" s="34">
        <f>G199/MIN(G198:G198,G200:G204)-1</f>
        <v/>
      </c>
      <c r="H208" s="30" t="n"/>
    </row>
    <row r="209">
      <c r="A209" s="28" t="inlineStr">
        <is>
          <t>RAJLOG x média das demais</t>
        </is>
      </c>
      <c r="B209" s="34">
        <f>B199/((SUM(B198:B204)-B199)/(COUNT(B198:B204)-1))-1</f>
        <v/>
      </c>
      <c r="C209" s="34">
        <f>C199/((SUM(C198:C204)-C199)/(COUNT(C198:C204)-1))-1</f>
        <v/>
      </c>
      <c r="D209" s="34">
        <f>D199/((SUM(D198:D204)-D199)/(COUNT(D198:D204)-1))-1</f>
        <v/>
      </c>
      <c r="E209" s="34">
        <f>E199/((SUM(E198:E204)-E199)/(COUNT(E198:E204)-1))-1</f>
        <v/>
      </c>
      <c r="F209" s="34">
        <f>F199/((SUM(F198:F204)-F199)/(COUNT(F198:F204)-1))-1</f>
        <v/>
      </c>
      <c r="G209" s="34">
        <f>G199/((SUM(G198:G204)-G199)/(COUNT(G198:G204)-1))-1</f>
        <v/>
      </c>
      <c r="H209" s="30" t="n"/>
    </row>
    <row r="212">
      <c r="A212" s="22" t="inlineStr">
        <is>
          <t>Poá - 08553-240</t>
        </is>
      </c>
      <c r="B212" s="23" t="n"/>
      <c r="C212" s="23" t="n"/>
      <c r="D212" s="23" t="n"/>
      <c r="E212" s="23" t="n"/>
      <c r="F212" s="23" t="n"/>
      <c r="G212" s="23" t="n"/>
      <c r="H212" s="23" t="n"/>
    </row>
    <row r="213">
      <c r="A213" s="24" t="inlineStr">
        <is>
          <t>Transportadora</t>
        </is>
      </c>
      <c r="B213" s="24" t="inlineStr">
        <is>
          <t>20 kg</t>
        </is>
      </c>
      <c r="C213" s="24" t="inlineStr">
        <is>
          <t>40 kg</t>
        </is>
      </c>
      <c r="D213" s="24" t="inlineStr">
        <is>
          <t>60 kg</t>
        </is>
      </c>
      <c r="E213" s="24" t="inlineStr">
        <is>
          <t>80 kg</t>
        </is>
      </c>
      <c r="F213" s="24" t="inlineStr">
        <is>
          <t>100 kg</t>
        </is>
      </c>
      <c r="G213" s="24" t="inlineStr">
        <is>
          <t>120 kg</t>
        </is>
      </c>
      <c r="H213" s="24" t="inlineStr">
        <is>
          <t>Prazo (dias)</t>
        </is>
      </c>
    </row>
    <row r="214">
      <c r="A214" s="14" t="inlineStr">
        <is>
          <t>TRANSIGA FILIAL SP</t>
        </is>
      </c>
      <c r="B214" s="25" t="n">
        <v>87.90000000000001</v>
      </c>
      <c r="C214" s="25" t="n">
        <v>109.6</v>
      </c>
      <c r="D214" s="25" t="n">
        <v>138.81</v>
      </c>
      <c r="E214" s="25" t="n">
        <v>170.43</v>
      </c>
      <c r="F214" s="25" t="n">
        <v>191.42</v>
      </c>
      <c r="G214" s="25" t="n">
        <v>240.4</v>
      </c>
      <c r="H214" s="4" t="n">
        <v>7</v>
      </c>
    </row>
    <row r="215">
      <c r="A215" s="26" t="inlineStr">
        <is>
          <t>RAJLOG</t>
        </is>
      </c>
      <c r="B215" s="27" t="n">
        <v>53.05</v>
      </c>
      <c r="C215" s="27" t="n">
        <v>81.65000000000001</v>
      </c>
      <c r="D215" s="27" t="n">
        <v>117.47</v>
      </c>
      <c r="E215" s="27" t="n">
        <v>158.41</v>
      </c>
      <c r="F215" s="27" t="n">
        <v>168.64</v>
      </c>
      <c r="G215" s="27" t="n">
        <v>221.03</v>
      </c>
      <c r="H215" s="8" t="n">
        <v>5</v>
      </c>
    </row>
    <row r="216">
      <c r="A216" s="14" t="inlineStr">
        <is>
          <t>Trans Sua Log - Standard</t>
        </is>
      </c>
      <c r="B216" s="25" t="n">
        <v>80.64</v>
      </c>
      <c r="C216" s="25" t="n">
        <v>97.81999999999999</v>
      </c>
      <c r="D216" s="25" t="n">
        <v>113.18</v>
      </c>
      <c r="E216" s="25" t="n">
        <v>133.72</v>
      </c>
      <c r="F216" s="25" t="n">
        <v>158.06</v>
      </c>
      <c r="G216" s="25" t="n">
        <v>185.63</v>
      </c>
      <c r="H216" s="4" t="n">
        <v>8</v>
      </c>
    </row>
    <row r="217">
      <c r="A217" s="14" t="inlineStr">
        <is>
          <t>Transvanio</t>
        </is>
      </c>
      <c r="B217" s="25" t="n">
        <v>85.23999999999999</v>
      </c>
      <c r="C217" s="25" t="n">
        <v>104.55</v>
      </c>
      <c r="D217" s="25" t="n">
        <v>123.98</v>
      </c>
      <c r="E217" s="25" t="n">
        <v>143.61</v>
      </c>
      <c r="F217" s="25" t="n">
        <v>163.14</v>
      </c>
      <c r="G217" s="25" t="n">
        <v>196.72</v>
      </c>
      <c r="H217" s="4" t="n">
        <v>4</v>
      </c>
    </row>
    <row r="218">
      <c r="A218" s="14" t="inlineStr">
        <is>
          <t>VM TRANSPORTES</t>
        </is>
      </c>
      <c r="B218" s="25" t="n">
        <v>77.33</v>
      </c>
      <c r="C218" s="25" t="n">
        <v>97.7</v>
      </c>
      <c r="D218" s="25" t="n">
        <v>142.07</v>
      </c>
      <c r="E218" s="25" t="n">
        <v>156.45</v>
      </c>
      <c r="F218" s="25" t="n">
        <v>170.84</v>
      </c>
      <c r="G218" s="25" t="n">
        <v>206.81</v>
      </c>
      <c r="H218" s="4" t="n">
        <v>8</v>
      </c>
    </row>
    <row r="219">
      <c r="A219" s="14" t="inlineStr">
        <is>
          <t>Zelog Standard</t>
        </is>
      </c>
      <c r="B219" s="25" t="n">
        <v>88.63</v>
      </c>
      <c r="C219" s="25" t="n">
        <v>102.34</v>
      </c>
      <c r="D219" s="25" t="n">
        <v>129.24</v>
      </c>
      <c r="E219" s="25" t="n">
        <v>156.11</v>
      </c>
      <c r="F219" s="25" t="n">
        <v>166.34</v>
      </c>
      <c r="G219" s="25" t="n">
        <v>187.72</v>
      </c>
      <c r="H219" s="4" t="n">
        <v>4</v>
      </c>
    </row>
    <row r="220">
      <c r="A220" s="14" t="inlineStr">
        <is>
          <t>Trilog Express</t>
        </is>
      </c>
      <c r="B220" s="25" t="n">
        <v>134.89</v>
      </c>
      <c r="C220" s="25" t="n">
        <v>151.08</v>
      </c>
      <c r="D220" s="25" t="n">
        <v>164.28</v>
      </c>
      <c r="E220" s="25" t="n">
        <v>186.45</v>
      </c>
      <c r="F220" s="25" t="n">
        <v>196.68</v>
      </c>
      <c r="G220" s="25" t="n">
        <v>233.27</v>
      </c>
      <c r="H220" s="4" t="n">
        <v>7</v>
      </c>
    </row>
    <row r="221">
      <c r="A221" s="28" t="inlineStr">
        <is>
          <t>Menor valor</t>
        </is>
      </c>
      <c r="B221" s="29">
        <f>MIN(B214:B220)</f>
        <v/>
      </c>
      <c r="C221" s="29">
        <f>MIN(C214:C220)</f>
        <v/>
      </c>
      <c r="D221" s="29">
        <f>MIN(D214:D220)</f>
        <v/>
      </c>
      <c r="E221" s="29">
        <f>MIN(E214:E220)</f>
        <v/>
      </c>
      <c r="F221" s="29">
        <f>MIN(F214:F220)</f>
        <v/>
      </c>
      <c r="G221" s="29">
        <f>MIN(G214:G220)</f>
        <v/>
      </c>
      <c r="H221" s="30" t="n"/>
    </row>
    <row r="222">
      <c r="A222" s="28" t="inlineStr">
        <is>
          <t>Transportadora mais barata</t>
        </is>
      </c>
      <c r="B222" s="31">
        <f>INDEX($A$214:$A$220,MATCH(MIN(B214:B220),B214:B220,0))</f>
        <v/>
      </c>
      <c r="C222" s="31">
        <f>INDEX($A$214:$A$220,MATCH(MIN(C214:C220),C214:C220,0))</f>
        <v/>
      </c>
      <c r="D222" s="31">
        <f>INDEX($A$214:$A$220,MATCH(MIN(D214:D220),D214:D220,0))</f>
        <v/>
      </c>
      <c r="E222" s="31">
        <f>INDEX($A$214:$A$220,MATCH(MIN(E214:E220),E214:E220,0))</f>
        <v/>
      </c>
      <c r="F222" s="31">
        <f>INDEX($A$214:$A$220,MATCH(MIN(F214:F220),F214:F220,0))</f>
        <v/>
      </c>
      <c r="G222" s="31">
        <f>INDEX($A$214:$A$220,MATCH(MIN(G214:G220),G214:G220,0))</f>
        <v/>
      </c>
      <c r="H222" s="32" t="n"/>
    </row>
    <row r="223">
      <c r="A223" s="28" t="inlineStr">
        <is>
          <t>Posição RAJLOG</t>
        </is>
      </c>
      <c r="B223" s="33">
        <f>(COUNTIF(B214:B220,"&lt;"&amp;B215)+1)&amp;"º de "&amp;COUNT(B214:B220)</f>
        <v/>
      </c>
      <c r="C223" s="33">
        <f>(COUNTIF(C214:C220,"&lt;"&amp;C215)+1)&amp;"º de "&amp;COUNT(C214:C220)</f>
        <v/>
      </c>
      <c r="D223" s="33">
        <f>(COUNTIF(D214:D220,"&lt;"&amp;D215)+1)&amp;"º de "&amp;COUNT(D214:D220)</f>
        <v/>
      </c>
      <c r="E223" s="33">
        <f>(COUNTIF(E214:E220,"&lt;"&amp;E215)+1)&amp;"º de "&amp;COUNT(E214:E220)</f>
        <v/>
      </c>
      <c r="F223" s="33">
        <f>(COUNTIF(F214:F220,"&lt;"&amp;F215)+1)&amp;"º de "&amp;COUNT(F214:F220)</f>
        <v/>
      </c>
      <c r="G223" s="33">
        <f>(COUNTIF(G214:G220,"&lt;"&amp;G215)+1)&amp;"º de "&amp;COUNT(G214:G220)</f>
        <v/>
      </c>
      <c r="H223" s="30" t="n"/>
    </row>
    <row r="224">
      <c r="A224" s="28" t="inlineStr">
        <is>
          <t>RAJLOG x concorrente mais barato</t>
        </is>
      </c>
      <c r="B224" s="34">
        <f>B215/MIN(B214:B214,B216:B220)-1</f>
        <v/>
      </c>
      <c r="C224" s="34">
        <f>C215/MIN(C214:C214,C216:C220)-1</f>
        <v/>
      </c>
      <c r="D224" s="34">
        <f>D215/MIN(D214:D214,D216:D220)-1</f>
        <v/>
      </c>
      <c r="E224" s="34">
        <f>E215/MIN(E214:E214,E216:E220)-1</f>
        <v/>
      </c>
      <c r="F224" s="34">
        <f>F215/MIN(F214:F214,F216:F220)-1</f>
        <v/>
      </c>
      <c r="G224" s="34">
        <f>G215/MIN(G214:G214,G216:G220)-1</f>
        <v/>
      </c>
      <c r="H224" s="30" t="n"/>
    </row>
    <row r="225">
      <c r="A225" s="28" t="inlineStr">
        <is>
          <t>RAJLOG x média das demais</t>
        </is>
      </c>
      <c r="B225" s="34">
        <f>B215/((SUM(B214:B220)-B215)/(COUNT(B214:B220)-1))-1</f>
        <v/>
      </c>
      <c r="C225" s="34">
        <f>C215/((SUM(C214:C220)-C215)/(COUNT(C214:C220)-1))-1</f>
        <v/>
      </c>
      <c r="D225" s="34">
        <f>D215/((SUM(D214:D220)-D215)/(COUNT(D214:D220)-1))-1</f>
        <v/>
      </c>
      <c r="E225" s="34">
        <f>E215/((SUM(E214:E220)-E215)/(COUNT(E214:E220)-1))-1</f>
        <v/>
      </c>
      <c r="F225" s="34">
        <f>F215/((SUM(F214:F220)-F215)/(COUNT(F214:F220)-1))-1</f>
        <v/>
      </c>
      <c r="G225" s="34">
        <f>G215/((SUM(G214:G220)-G215)/(COUNT(G214:G220)-1))-1</f>
        <v/>
      </c>
      <c r="H225" s="30" t="n"/>
    </row>
    <row r="228">
      <c r="A228" s="22" t="inlineStr">
        <is>
          <t>Suzano - 08616-260</t>
        </is>
      </c>
      <c r="B228" s="23" t="n"/>
      <c r="C228" s="23" t="n"/>
      <c r="D228" s="23" t="n"/>
      <c r="E228" s="23" t="n"/>
      <c r="F228" s="23" t="n"/>
      <c r="G228" s="23" t="n"/>
      <c r="H228" s="23" t="n"/>
    </row>
    <row r="229">
      <c r="A229" s="24" t="inlineStr">
        <is>
          <t>Transportadora</t>
        </is>
      </c>
      <c r="B229" s="24" t="inlineStr">
        <is>
          <t>20 kg</t>
        </is>
      </c>
      <c r="C229" s="24" t="inlineStr">
        <is>
          <t>40 kg</t>
        </is>
      </c>
      <c r="D229" s="24" t="inlineStr">
        <is>
          <t>60 kg</t>
        </is>
      </c>
      <c r="E229" s="24" t="inlineStr">
        <is>
          <t>80 kg</t>
        </is>
      </c>
      <c r="F229" s="24" t="inlineStr">
        <is>
          <t>100 kg</t>
        </is>
      </c>
      <c r="G229" s="24" t="inlineStr">
        <is>
          <t>120 kg</t>
        </is>
      </c>
      <c r="H229" s="24" t="inlineStr">
        <is>
          <t>Prazo (dias)</t>
        </is>
      </c>
    </row>
    <row r="230">
      <c r="A230" s="14" t="inlineStr">
        <is>
          <t>TRANSIGA FILIAL SP</t>
        </is>
      </c>
      <c r="B230" s="25" t="n">
        <v>87.90000000000001</v>
      </c>
      <c r="C230" s="25" t="n">
        <v>109.6</v>
      </c>
      <c r="D230" s="25" t="n">
        <v>138.81</v>
      </c>
      <c r="E230" s="25" t="n">
        <v>170.43</v>
      </c>
      <c r="F230" s="25" t="n">
        <v>191.42</v>
      </c>
      <c r="G230" s="25" t="n">
        <v>240.4</v>
      </c>
      <c r="H230" s="4" t="n">
        <v>7</v>
      </c>
    </row>
    <row r="231">
      <c r="A231" s="26" t="inlineStr">
        <is>
          <t>RAJLOG</t>
        </is>
      </c>
      <c r="B231" s="27" t="n">
        <v>53.05</v>
      </c>
      <c r="C231" s="27" t="n">
        <v>81.65000000000001</v>
      </c>
      <c r="D231" s="27" t="n">
        <v>117.47</v>
      </c>
      <c r="E231" s="27" t="n">
        <v>158.41</v>
      </c>
      <c r="F231" s="27" t="n">
        <v>168.64</v>
      </c>
      <c r="G231" s="27" t="n">
        <v>221.03</v>
      </c>
      <c r="H231" s="8" t="n">
        <v>5</v>
      </c>
    </row>
    <row r="232">
      <c r="A232" s="14" t="inlineStr">
        <is>
          <t>Trans Sua Log - Standard</t>
        </is>
      </c>
      <c r="B232" s="25" t="n">
        <v>80.64</v>
      </c>
      <c r="C232" s="25" t="n">
        <v>97.81999999999999</v>
      </c>
      <c r="D232" s="25" t="n">
        <v>113.18</v>
      </c>
      <c r="E232" s="25" t="n">
        <v>133.72</v>
      </c>
      <c r="F232" s="25" t="n">
        <v>158.06</v>
      </c>
      <c r="G232" s="25" t="n">
        <v>185.63</v>
      </c>
      <c r="H232" s="4" t="n">
        <v>8</v>
      </c>
    </row>
    <row r="233">
      <c r="A233" s="14" t="inlineStr">
        <is>
          <t>Transvanio</t>
        </is>
      </c>
      <c r="B233" s="25" t="n">
        <v>87.8</v>
      </c>
      <c r="C233" s="25" t="n">
        <v>107.1</v>
      </c>
      <c r="D233" s="25" t="n">
        <v>126.53</v>
      </c>
      <c r="E233" s="25" t="n">
        <v>146.17</v>
      </c>
      <c r="F233" s="25" t="n">
        <v>165.69</v>
      </c>
      <c r="G233" s="25" t="n">
        <v>201.83</v>
      </c>
      <c r="H233" s="4" t="n">
        <v>4</v>
      </c>
    </row>
    <row r="234">
      <c r="A234" s="14" t="inlineStr">
        <is>
          <t>VM TRANSPORTES</t>
        </is>
      </c>
      <c r="B234" s="25" t="n">
        <v>77.33</v>
      </c>
      <c r="C234" s="25" t="n">
        <v>97.7</v>
      </c>
      <c r="D234" s="25" t="n">
        <v>142.07</v>
      </c>
      <c r="E234" s="25" t="n">
        <v>156.45</v>
      </c>
      <c r="F234" s="25" t="n">
        <v>170.84</v>
      </c>
      <c r="G234" s="25" t="n">
        <v>206.81</v>
      </c>
      <c r="H234" s="4" t="n">
        <v>8</v>
      </c>
    </row>
    <row r="235">
      <c r="A235" s="14" t="inlineStr">
        <is>
          <t>Zelog Standard</t>
        </is>
      </c>
      <c r="B235" s="25" t="n">
        <v>88.63</v>
      </c>
      <c r="C235" s="25" t="n">
        <v>102.34</v>
      </c>
      <c r="D235" s="25" t="n">
        <v>129.24</v>
      </c>
      <c r="E235" s="25" t="n">
        <v>156.11</v>
      </c>
      <c r="F235" s="25" t="n">
        <v>166.34</v>
      </c>
      <c r="G235" s="25" t="n">
        <v>187.72</v>
      </c>
      <c r="H235" s="4" t="n">
        <v>4</v>
      </c>
    </row>
    <row r="236">
      <c r="A236" s="14" t="inlineStr">
        <is>
          <t>Trilog Express</t>
        </is>
      </c>
      <c r="B236" s="25" t="n">
        <v>134.89</v>
      </c>
      <c r="C236" s="25" t="n">
        <v>151.08</v>
      </c>
      <c r="D236" s="25" t="n">
        <v>164.28</v>
      </c>
      <c r="E236" s="25" t="n">
        <v>186.45</v>
      </c>
      <c r="F236" s="25" t="n">
        <v>196.68</v>
      </c>
      <c r="G236" s="25" t="n">
        <v>233.27</v>
      </c>
      <c r="H236" s="4" t="n">
        <v>7</v>
      </c>
    </row>
    <row r="237">
      <c r="A237" s="28" t="inlineStr">
        <is>
          <t>Menor valor</t>
        </is>
      </c>
      <c r="B237" s="29">
        <f>MIN(B230:B236)</f>
        <v/>
      </c>
      <c r="C237" s="29">
        <f>MIN(C230:C236)</f>
        <v/>
      </c>
      <c r="D237" s="29">
        <f>MIN(D230:D236)</f>
        <v/>
      </c>
      <c r="E237" s="29">
        <f>MIN(E230:E236)</f>
        <v/>
      </c>
      <c r="F237" s="29">
        <f>MIN(F230:F236)</f>
        <v/>
      </c>
      <c r="G237" s="29">
        <f>MIN(G230:G236)</f>
        <v/>
      </c>
      <c r="H237" s="30" t="n"/>
    </row>
    <row r="238">
      <c r="A238" s="28" t="inlineStr">
        <is>
          <t>Transportadora mais barata</t>
        </is>
      </c>
      <c r="B238" s="31">
        <f>INDEX($A$230:$A$236,MATCH(MIN(B230:B236),B230:B236,0))</f>
        <v/>
      </c>
      <c r="C238" s="31">
        <f>INDEX($A$230:$A$236,MATCH(MIN(C230:C236),C230:C236,0))</f>
        <v/>
      </c>
      <c r="D238" s="31">
        <f>INDEX($A$230:$A$236,MATCH(MIN(D230:D236),D230:D236,0))</f>
        <v/>
      </c>
      <c r="E238" s="31">
        <f>INDEX($A$230:$A$236,MATCH(MIN(E230:E236),E230:E236,0))</f>
        <v/>
      </c>
      <c r="F238" s="31">
        <f>INDEX($A$230:$A$236,MATCH(MIN(F230:F236),F230:F236,0))</f>
        <v/>
      </c>
      <c r="G238" s="31">
        <f>INDEX($A$230:$A$236,MATCH(MIN(G230:G236),G230:G236,0))</f>
        <v/>
      </c>
      <c r="H238" s="32" t="n"/>
    </row>
    <row r="239">
      <c r="A239" s="28" t="inlineStr">
        <is>
          <t>Posição RAJLOG</t>
        </is>
      </c>
      <c r="B239" s="33">
        <f>(COUNTIF(B230:B236,"&lt;"&amp;B231)+1)&amp;"º de "&amp;COUNT(B230:B236)</f>
        <v/>
      </c>
      <c r="C239" s="33">
        <f>(COUNTIF(C230:C236,"&lt;"&amp;C231)+1)&amp;"º de "&amp;COUNT(C230:C236)</f>
        <v/>
      </c>
      <c r="D239" s="33">
        <f>(COUNTIF(D230:D236,"&lt;"&amp;D231)+1)&amp;"º de "&amp;COUNT(D230:D236)</f>
        <v/>
      </c>
      <c r="E239" s="33">
        <f>(COUNTIF(E230:E236,"&lt;"&amp;E231)+1)&amp;"º de "&amp;COUNT(E230:E236)</f>
        <v/>
      </c>
      <c r="F239" s="33">
        <f>(COUNTIF(F230:F236,"&lt;"&amp;F231)+1)&amp;"º de "&amp;COUNT(F230:F236)</f>
        <v/>
      </c>
      <c r="G239" s="33">
        <f>(COUNTIF(G230:G236,"&lt;"&amp;G231)+1)&amp;"º de "&amp;COUNT(G230:G236)</f>
        <v/>
      </c>
      <c r="H239" s="30" t="n"/>
    </row>
    <row r="240">
      <c r="A240" s="28" t="inlineStr">
        <is>
          <t>RAJLOG x concorrente mais barato</t>
        </is>
      </c>
      <c r="B240" s="34">
        <f>B231/MIN(B230:B230,B232:B236)-1</f>
        <v/>
      </c>
      <c r="C240" s="34">
        <f>C231/MIN(C230:C230,C232:C236)-1</f>
        <v/>
      </c>
      <c r="D240" s="34">
        <f>D231/MIN(D230:D230,D232:D236)-1</f>
        <v/>
      </c>
      <c r="E240" s="34">
        <f>E231/MIN(E230:E230,E232:E236)-1</f>
        <v/>
      </c>
      <c r="F240" s="34">
        <f>F231/MIN(F230:F230,F232:F236)-1</f>
        <v/>
      </c>
      <c r="G240" s="34">
        <f>G231/MIN(G230:G230,G232:G236)-1</f>
        <v/>
      </c>
      <c r="H240" s="30" t="n"/>
    </row>
    <row r="241">
      <c r="A241" s="28" t="inlineStr">
        <is>
          <t>RAJLOG x média das demais</t>
        </is>
      </c>
      <c r="B241" s="34">
        <f>B231/((SUM(B230:B236)-B231)/(COUNT(B230:B236)-1))-1</f>
        <v/>
      </c>
      <c r="C241" s="34">
        <f>C231/((SUM(C230:C236)-C231)/(COUNT(C230:C236)-1))-1</f>
        <v/>
      </c>
      <c r="D241" s="34">
        <f>D231/((SUM(D230:D236)-D231)/(COUNT(D230:D236)-1))-1</f>
        <v/>
      </c>
      <c r="E241" s="34">
        <f>E231/((SUM(E230:E236)-E231)/(COUNT(E230:E236)-1))-1</f>
        <v/>
      </c>
      <c r="F241" s="34">
        <f>F231/((SUM(F230:F236)-F231)/(COUNT(F230:F236)-1))-1</f>
        <v/>
      </c>
      <c r="G241" s="34">
        <f>G231/((SUM(G230:G236)-G231)/(COUNT(G230:G236)-1))-1</f>
        <v/>
      </c>
      <c r="H241" s="30" t="n"/>
    </row>
    <row r="244">
      <c r="A244" s="22" t="inlineStr">
        <is>
          <t>Barueri - 06449-080</t>
        </is>
      </c>
      <c r="B244" s="23" t="n"/>
      <c r="C244" s="23" t="n"/>
      <c r="D244" s="23" t="n"/>
      <c r="E244" s="23" t="n"/>
      <c r="F244" s="23" t="n"/>
      <c r="G244" s="23" t="n"/>
      <c r="H244" s="23" t="n"/>
    </row>
    <row r="245">
      <c r="A245" s="24" t="inlineStr">
        <is>
          <t>Transportadora</t>
        </is>
      </c>
      <c r="B245" s="24" t="inlineStr">
        <is>
          <t>20 kg</t>
        </is>
      </c>
      <c r="C245" s="24" t="inlineStr">
        <is>
          <t>40 kg</t>
        </is>
      </c>
      <c r="D245" s="24" t="inlineStr">
        <is>
          <t>60 kg</t>
        </is>
      </c>
      <c r="E245" s="24" t="inlineStr">
        <is>
          <t>80 kg</t>
        </is>
      </c>
      <c r="F245" s="24" t="inlineStr">
        <is>
          <t>100 kg</t>
        </is>
      </c>
      <c r="G245" s="24" t="inlineStr">
        <is>
          <t>120 kg</t>
        </is>
      </c>
      <c r="H245" s="24" t="inlineStr">
        <is>
          <t>Prazo (dias)</t>
        </is>
      </c>
    </row>
    <row r="246">
      <c r="A246" s="14" t="inlineStr">
        <is>
          <t>TRANSIGA FILIAL SP</t>
        </is>
      </c>
      <c r="B246" s="25" t="n">
        <v>87.90000000000001</v>
      </c>
      <c r="C246" s="25" t="n">
        <v>109.6</v>
      </c>
      <c r="D246" s="25" t="n">
        <v>138.81</v>
      </c>
      <c r="E246" s="25" t="n">
        <v>170.43</v>
      </c>
      <c r="F246" s="25" t="n">
        <v>191.42</v>
      </c>
      <c r="G246" s="25" t="n">
        <v>240.4</v>
      </c>
      <c r="H246" s="4" t="n">
        <v>7</v>
      </c>
    </row>
    <row r="247">
      <c r="A247" s="26" t="inlineStr">
        <is>
          <t>RAJLOG</t>
        </is>
      </c>
      <c r="B247" s="27" t="n">
        <v>53.05</v>
      </c>
      <c r="C247" s="27" t="n">
        <v>81.65000000000001</v>
      </c>
      <c r="D247" s="27" t="n">
        <v>117.47</v>
      </c>
      <c r="E247" s="27" t="n">
        <v>158.41</v>
      </c>
      <c r="F247" s="27" t="n">
        <v>168.64</v>
      </c>
      <c r="G247" s="27" t="n">
        <v>221.03</v>
      </c>
      <c r="H247" s="8" t="n">
        <v>5</v>
      </c>
    </row>
    <row r="248">
      <c r="A248" s="14" t="inlineStr">
        <is>
          <t>Trans Sua Log - Standard</t>
        </is>
      </c>
      <c r="B248" s="25" t="n">
        <v>80.64</v>
      </c>
      <c r="C248" s="25" t="n">
        <v>97.81999999999999</v>
      </c>
      <c r="D248" s="25" t="n">
        <v>113.18</v>
      </c>
      <c r="E248" s="25" t="n">
        <v>133.72</v>
      </c>
      <c r="F248" s="25" t="n">
        <v>158.06</v>
      </c>
      <c r="G248" s="25" t="n">
        <v>185.63</v>
      </c>
      <c r="H248" s="4" t="n">
        <v>8</v>
      </c>
    </row>
    <row r="249">
      <c r="A249" s="14" t="inlineStr">
        <is>
          <t>Transvanio</t>
        </is>
      </c>
      <c r="B249" s="25" t="n">
        <v>85.23999999999999</v>
      </c>
      <c r="C249" s="25" t="n">
        <v>104.55</v>
      </c>
      <c r="D249" s="25" t="n">
        <v>123.98</v>
      </c>
      <c r="E249" s="25" t="n">
        <v>143.61</v>
      </c>
      <c r="F249" s="25" t="n">
        <v>163.14</v>
      </c>
      <c r="G249" s="25" t="n">
        <v>196.72</v>
      </c>
      <c r="H249" s="4" t="n">
        <v>4</v>
      </c>
    </row>
    <row r="250">
      <c r="A250" s="14" t="inlineStr">
        <is>
          <t>VM TRANSPORTES</t>
        </is>
      </c>
      <c r="B250" s="25" t="n">
        <v>77.33</v>
      </c>
      <c r="C250" s="25" t="n">
        <v>97.7</v>
      </c>
      <c r="D250" s="25" t="n">
        <v>142.07</v>
      </c>
      <c r="E250" s="25" t="n">
        <v>156.45</v>
      </c>
      <c r="F250" s="25" t="n">
        <v>170.84</v>
      </c>
      <c r="G250" s="25" t="n">
        <v>206.81</v>
      </c>
      <c r="H250" s="4" t="n">
        <v>8</v>
      </c>
    </row>
    <row r="251">
      <c r="A251" s="14" t="inlineStr">
        <is>
          <t>Zelog Standard</t>
        </is>
      </c>
      <c r="B251" s="25" t="n">
        <v>80.78</v>
      </c>
      <c r="C251" s="25" t="n">
        <v>94.84</v>
      </c>
      <c r="D251" s="25" t="n">
        <v>121.74</v>
      </c>
      <c r="E251" s="25" t="n">
        <v>148.61</v>
      </c>
      <c r="F251" s="25" t="n">
        <v>158.84</v>
      </c>
      <c r="G251" s="25" t="n">
        <v>179.53</v>
      </c>
      <c r="H251" s="4" t="n">
        <v>4</v>
      </c>
    </row>
    <row r="252">
      <c r="A252" s="14" t="inlineStr">
        <is>
          <t>Trilog Express</t>
        </is>
      </c>
      <c r="B252" s="25" t="n">
        <v>134.89</v>
      </c>
      <c r="C252" s="25" t="n">
        <v>151.08</v>
      </c>
      <c r="D252" s="25" t="n">
        <v>164.28</v>
      </c>
      <c r="E252" s="25" t="n">
        <v>186.45</v>
      </c>
      <c r="F252" s="25" t="n">
        <v>196.68</v>
      </c>
      <c r="G252" s="25" t="n">
        <v>233.27</v>
      </c>
      <c r="H252" s="4" t="n">
        <v>7</v>
      </c>
    </row>
    <row r="253">
      <c r="A253" s="28" t="inlineStr">
        <is>
          <t>Menor valor</t>
        </is>
      </c>
      <c r="B253" s="29">
        <f>MIN(B246:B252)</f>
        <v/>
      </c>
      <c r="C253" s="29">
        <f>MIN(C246:C252)</f>
        <v/>
      </c>
      <c r="D253" s="29">
        <f>MIN(D246:D252)</f>
        <v/>
      </c>
      <c r="E253" s="29">
        <f>MIN(E246:E252)</f>
        <v/>
      </c>
      <c r="F253" s="29">
        <f>MIN(F246:F252)</f>
        <v/>
      </c>
      <c r="G253" s="29">
        <f>MIN(G246:G252)</f>
        <v/>
      </c>
      <c r="H253" s="30" t="n"/>
    </row>
    <row r="254">
      <c r="A254" s="28" t="inlineStr">
        <is>
          <t>Transportadora mais barata</t>
        </is>
      </c>
      <c r="B254" s="31">
        <f>INDEX($A$246:$A$252,MATCH(MIN(B246:B252),B246:B252,0))</f>
        <v/>
      </c>
      <c r="C254" s="31">
        <f>INDEX($A$246:$A$252,MATCH(MIN(C246:C252),C246:C252,0))</f>
        <v/>
      </c>
      <c r="D254" s="31">
        <f>INDEX($A$246:$A$252,MATCH(MIN(D246:D252),D246:D252,0))</f>
        <v/>
      </c>
      <c r="E254" s="31">
        <f>INDEX($A$246:$A$252,MATCH(MIN(E246:E252),E246:E252,0))</f>
        <v/>
      </c>
      <c r="F254" s="31">
        <f>INDEX($A$246:$A$252,MATCH(MIN(F246:F252),F246:F252,0))</f>
        <v/>
      </c>
      <c r="G254" s="31">
        <f>INDEX($A$246:$A$252,MATCH(MIN(G246:G252),G246:G252,0))</f>
        <v/>
      </c>
      <c r="H254" s="32" t="n"/>
    </row>
    <row r="255">
      <c r="A255" s="28" t="inlineStr">
        <is>
          <t>Posição RAJLOG</t>
        </is>
      </c>
      <c r="B255" s="33">
        <f>(COUNTIF(B246:B252,"&lt;"&amp;B247)+1)&amp;"º de "&amp;COUNT(B246:B252)</f>
        <v/>
      </c>
      <c r="C255" s="33">
        <f>(COUNTIF(C246:C252,"&lt;"&amp;C247)+1)&amp;"º de "&amp;COUNT(C246:C252)</f>
        <v/>
      </c>
      <c r="D255" s="33">
        <f>(COUNTIF(D246:D252,"&lt;"&amp;D247)+1)&amp;"º de "&amp;COUNT(D246:D252)</f>
        <v/>
      </c>
      <c r="E255" s="33">
        <f>(COUNTIF(E246:E252,"&lt;"&amp;E247)+1)&amp;"º de "&amp;COUNT(E246:E252)</f>
        <v/>
      </c>
      <c r="F255" s="33">
        <f>(COUNTIF(F246:F252,"&lt;"&amp;F247)+1)&amp;"º de "&amp;COUNT(F246:F252)</f>
        <v/>
      </c>
      <c r="G255" s="33">
        <f>(COUNTIF(G246:G252,"&lt;"&amp;G247)+1)&amp;"º de "&amp;COUNT(G246:G252)</f>
        <v/>
      </c>
      <c r="H255" s="30" t="n"/>
    </row>
    <row r="256">
      <c r="A256" s="28" t="inlineStr">
        <is>
          <t>RAJLOG x concorrente mais barato</t>
        </is>
      </c>
      <c r="B256" s="34">
        <f>B247/MIN(B246:B246,B248:B252)-1</f>
        <v/>
      </c>
      <c r="C256" s="34">
        <f>C247/MIN(C246:C246,C248:C252)-1</f>
        <v/>
      </c>
      <c r="D256" s="34">
        <f>D247/MIN(D246:D246,D248:D252)-1</f>
        <v/>
      </c>
      <c r="E256" s="34">
        <f>E247/MIN(E246:E246,E248:E252)-1</f>
        <v/>
      </c>
      <c r="F256" s="34">
        <f>F247/MIN(F246:F246,F248:F252)-1</f>
        <v/>
      </c>
      <c r="G256" s="34">
        <f>G247/MIN(G246:G246,G248:G252)-1</f>
        <v/>
      </c>
      <c r="H256" s="30" t="n"/>
    </row>
    <row r="257">
      <c r="A257" s="28" t="inlineStr">
        <is>
          <t>RAJLOG x média das demais</t>
        </is>
      </c>
      <c r="B257" s="34">
        <f>B247/((SUM(B246:B252)-B247)/(COUNT(B246:B252)-1))-1</f>
        <v/>
      </c>
      <c r="C257" s="34">
        <f>C247/((SUM(C246:C252)-C247)/(COUNT(C246:C252)-1))-1</f>
        <v/>
      </c>
      <c r="D257" s="34">
        <f>D247/((SUM(D246:D252)-D247)/(COUNT(D246:D252)-1))-1</f>
        <v/>
      </c>
      <c r="E257" s="34">
        <f>E247/((SUM(E246:E252)-E247)/(COUNT(E246:E252)-1))-1</f>
        <v/>
      </c>
      <c r="F257" s="34">
        <f>F247/((SUM(F246:F252)-F247)/(COUNT(F246:F252)-1))-1</f>
        <v/>
      </c>
      <c r="G257" s="34">
        <f>G247/((SUM(G246:G252)-G247)/(COUNT(G246:G252)-1))-1</f>
        <v/>
      </c>
      <c r="H257" s="30" t="n"/>
    </row>
    <row r="260">
      <c r="A260" s="22" t="inlineStr">
        <is>
          <t>Diadema - 09960-750</t>
        </is>
      </c>
      <c r="B260" s="23" t="n"/>
      <c r="C260" s="23" t="n"/>
      <c r="D260" s="23" t="n"/>
      <c r="E260" s="23" t="n"/>
      <c r="F260" s="23" t="n"/>
      <c r="G260" s="23" t="n"/>
      <c r="H260" s="23" t="n"/>
    </row>
    <row r="261">
      <c r="A261" s="24" t="inlineStr">
        <is>
          <t>Transportadora</t>
        </is>
      </c>
      <c r="B261" s="24" t="inlineStr">
        <is>
          <t>20 kg</t>
        </is>
      </c>
      <c r="C261" s="24" t="inlineStr">
        <is>
          <t>40 kg</t>
        </is>
      </c>
      <c r="D261" s="24" t="inlineStr">
        <is>
          <t>60 kg</t>
        </is>
      </c>
      <c r="E261" s="24" t="inlineStr">
        <is>
          <t>80 kg</t>
        </is>
      </c>
      <c r="F261" s="24" t="inlineStr">
        <is>
          <t>100 kg</t>
        </is>
      </c>
      <c r="G261" s="24" t="inlineStr">
        <is>
          <t>120 kg</t>
        </is>
      </c>
      <c r="H261" s="24" t="inlineStr">
        <is>
          <t>Prazo (dias)</t>
        </is>
      </c>
    </row>
    <row r="262">
      <c r="A262" s="14" t="inlineStr">
        <is>
          <t>TRANSIGA FILIAL SP</t>
        </is>
      </c>
      <c r="B262" s="25" t="n">
        <v>87.90000000000001</v>
      </c>
      <c r="C262" s="25" t="n">
        <v>109.6</v>
      </c>
      <c r="D262" s="25" t="n">
        <v>138.81</v>
      </c>
      <c r="E262" s="25" t="n">
        <v>170.43</v>
      </c>
      <c r="F262" s="25" t="n">
        <v>191.42</v>
      </c>
      <c r="G262" s="25" t="n">
        <v>240.4</v>
      </c>
      <c r="H262" s="4" t="n">
        <v>7</v>
      </c>
    </row>
    <row r="263">
      <c r="A263" s="26" t="inlineStr">
        <is>
          <t>RAJLOG</t>
        </is>
      </c>
      <c r="B263" s="27" t="n">
        <v>53.05</v>
      </c>
      <c r="C263" s="27" t="n">
        <v>81.65000000000001</v>
      </c>
      <c r="D263" s="27" t="n">
        <v>117.47</v>
      </c>
      <c r="E263" s="27" t="n">
        <v>158.41</v>
      </c>
      <c r="F263" s="27" t="n">
        <v>168.64</v>
      </c>
      <c r="G263" s="27" t="n">
        <v>221.03</v>
      </c>
      <c r="H263" s="8" t="n">
        <v>5</v>
      </c>
    </row>
    <row r="264">
      <c r="A264" s="14" t="inlineStr">
        <is>
          <t>Trans Sua Log - Standard</t>
        </is>
      </c>
      <c r="B264" s="25" t="n">
        <v>80.64</v>
      </c>
      <c r="C264" s="25" t="n">
        <v>97.81999999999999</v>
      </c>
      <c r="D264" s="25" t="n">
        <v>113.18</v>
      </c>
      <c r="E264" s="25" t="n">
        <v>133.72</v>
      </c>
      <c r="F264" s="25" t="n">
        <v>158.06</v>
      </c>
      <c r="G264" s="25" t="n">
        <v>185.63</v>
      </c>
      <c r="H264" s="4" t="n">
        <v>8</v>
      </c>
    </row>
    <row r="265">
      <c r="A265" s="14" t="inlineStr">
        <is>
          <t>Transvanio</t>
        </is>
      </c>
      <c r="B265" s="25" t="n">
        <v>85.23999999999999</v>
      </c>
      <c r="C265" s="25" t="n">
        <v>104.55</v>
      </c>
      <c r="D265" s="25" t="n">
        <v>123.98</v>
      </c>
      <c r="E265" s="25" t="n">
        <v>143.61</v>
      </c>
      <c r="F265" s="25" t="n">
        <v>163.14</v>
      </c>
      <c r="G265" s="25" t="n">
        <v>196.72</v>
      </c>
      <c r="H265" s="4" t="n">
        <v>4</v>
      </c>
    </row>
    <row r="266">
      <c r="A266" s="14" t="inlineStr">
        <is>
          <t>Zelog Standard</t>
        </is>
      </c>
      <c r="B266" s="25" t="n">
        <v>78.43000000000001</v>
      </c>
      <c r="C266" s="25" t="n">
        <v>95.93000000000001</v>
      </c>
      <c r="D266" s="25" t="n">
        <v>120.32</v>
      </c>
      <c r="E266" s="25" t="n">
        <v>144.7</v>
      </c>
      <c r="F266" s="25" t="n">
        <v>154.93</v>
      </c>
      <c r="G266" s="25" t="n">
        <v>176.81</v>
      </c>
      <c r="H266" s="4" t="n">
        <v>4</v>
      </c>
    </row>
    <row r="267">
      <c r="A267" s="14" t="inlineStr">
        <is>
          <t>Trilog Express</t>
        </is>
      </c>
      <c r="B267" s="25" t="n">
        <v>151.93</v>
      </c>
      <c r="C267" s="25" t="n">
        <v>168.13</v>
      </c>
      <c r="D267" s="25" t="n">
        <v>181.33</v>
      </c>
      <c r="E267" s="25" t="n">
        <v>203.5</v>
      </c>
      <c r="F267" s="25" t="n">
        <v>213.73</v>
      </c>
      <c r="G267" s="25" t="n">
        <v>250.32</v>
      </c>
      <c r="H267" s="4" t="n">
        <v>7</v>
      </c>
    </row>
    <row r="268">
      <c r="A268" s="28" t="inlineStr">
        <is>
          <t>Menor valor</t>
        </is>
      </c>
      <c r="B268" s="29">
        <f>MIN(B262:B267)</f>
        <v/>
      </c>
      <c r="C268" s="29">
        <f>MIN(C262:C267)</f>
        <v/>
      </c>
      <c r="D268" s="29">
        <f>MIN(D262:D267)</f>
        <v/>
      </c>
      <c r="E268" s="29">
        <f>MIN(E262:E267)</f>
        <v/>
      </c>
      <c r="F268" s="29">
        <f>MIN(F262:F267)</f>
        <v/>
      </c>
      <c r="G268" s="29">
        <f>MIN(G262:G267)</f>
        <v/>
      </c>
      <c r="H268" s="30" t="n"/>
    </row>
    <row r="269">
      <c r="A269" s="28" t="inlineStr">
        <is>
          <t>Transportadora mais barata</t>
        </is>
      </c>
      <c r="B269" s="31">
        <f>INDEX($A$262:$A$267,MATCH(MIN(B262:B267),B262:B267,0))</f>
        <v/>
      </c>
      <c r="C269" s="31">
        <f>INDEX($A$262:$A$267,MATCH(MIN(C262:C267),C262:C267,0))</f>
        <v/>
      </c>
      <c r="D269" s="31">
        <f>INDEX($A$262:$A$267,MATCH(MIN(D262:D267),D262:D267,0))</f>
        <v/>
      </c>
      <c r="E269" s="31">
        <f>INDEX($A$262:$A$267,MATCH(MIN(E262:E267),E262:E267,0))</f>
        <v/>
      </c>
      <c r="F269" s="31">
        <f>INDEX($A$262:$A$267,MATCH(MIN(F262:F267),F262:F267,0))</f>
        <v/>
      </c>
      <c r="G269" s="31">
        <f>INDEX($A$262:$A$267,MATCH(MIN(G262:G267),G262:G267,0))</f>
        <v/>
      </c>
      <c r="H269" s="32" t="n"/>
    </row>
    <row r="270">
      <c r="A270" s="28" t="inlineStr">
        <is>
          <t>Posição RAJLOG</t>
        </is>
      </c>
      <c r="B270" s="33">
        <f>(COUNTIF(B262:B267,"&lt;"&amp;B263)+1)&amp;"º de "&amp;COUNT(B262:B267)</f>
        <v/>
      </c>
      <c r="C270" s="33">
        <f>(COUNTIF(C262:C267,"&lt;"&amp;C263)+1)&amp;"º de "&amp;COUNT(C262:C267)</f>
        <v/>
      </c>
      <c r="D270" s="33">
        <f>(COUNTIF(D262:D267,"&lt;"&amp;D263)+1)&amp;"º de "&amp;COUNT(D262:D267)</f>
        <v/>
      </c>
      <c r="E270" s="33">
        <f>(COUNTIF(E262:E267,"&lt;"&amp;E263)+1)&amp;"º de "&amp;COUNT(E262:E267)</f>
        <v/>
      </c>
      <c r="F270" s="33">
        <f>(COUNTIF(F262:F267,"&lt;"&amp;F263)+1)&amp;"º de "&amp;COUNT(F262:F267)</f>
        <v/>
      </c>
      <c r="G270" s="33">
        <f>(COUNTIF(G262:G267,"&lt;"&amp;G263)+1)&amp;"º de "&amp;COUNT(G262:G267)</f>
        <v/>
      </c>
      <c r="H270" s="30" t="n"/>
    </row>
    <row r="271">
      <c r="A271" s="28" t="inlineStr">
        <is>
          <t>RAJLOG x concorrente mais barato</t>
        </is>
      </c>
      <c r="B271" s="34">
        <f>B263/MIN(B262:B262,B264:B267)-1</f>
        <v/>
      </c>
      <c r="C271" s="34">
        <f>C263/MIN(C262:C262,C264:C267)-1</f>
        <v/>
      </c>
      <c r="D271" s="34">
        <f>D263/MIN(D262:D262,D264:D267)-1</f>
        <v/>
      </c>
      <c r="E271" s="34">
        <f>E263/MIN(E262:E262,E264:E267)-1</f>
        <v/>
      </c>
      <c r="F271" s="34">
        <f>F263/MIN(F262:F262,F264:F267)-1</f>
        <v/>
      </c>
      <c r="G271" s="34">
        <f>G263/MIN(G262:G262,G264:G267)-1</f>
        <v/>
      </c>
      <c r="H271" s="30" t="n"/>
    </row>
    <row r="272">
      <c r="A272" s="28" t="inlineStr">
        <is>
          <t>RAJLOG x média das demais</t>
        </is>
      </c>
      <c r="B272" s="34">
        <f>B263/((SUM(B262:B267)-B263)/(COUNT(B262:B267)-1))-1</f>
        <v/>
      </c>
      <c r="C272" s="34">
        <f>C263/((SUM(C262:C267)-C263)/(COUNT(C262:C267)-1))-1</f>
        <v/>
      </c>
      <c r="D272" s="34">
        <f>D263/((SUM(D262:D267)-D263)/(COUNT(D262:D267)-1))-1</f>
        <v/>
      </c>
      <c r="E272" s="34">
        <f>E263/((SUM(E262:E267)-E263)/(COUNT(E262:E267)-1))-1</f>
        <v/>
      </c>
      <c r="F272" s="34">
        <f>F263/((SUM(F262:F267)-F263)/(COUNT(F262:F267)-1))-1</f>
        <v/>
      </c>
      <c r="G272" s="34">
        <f>G263/((SUM(G262:G267)-G263)/(COUNT(G262:G267)-1))-1</f>
        <v/>
      </c>
      <c r="H272" s="30" t="n"/>
    </row>
    <row r="275">
      <c r="A275" s="22" t="inlineStr">
        <is>
          <t>Guarulhos - 07240-230</t>
        </is>
      </c>
      <c r="B275" s="23" t="n"/>
      <c r="C275" s="23" t="n"/>
      <c r="D275" s="23" t="n"/>
      <c r="E275" s="23" t="n"/>
      <c r="F275" s="23" t="n"/>
      <c r="G275" s="23" t="n"/>
      <c r="H275" s="23" t="n"/>
    </row>
    <row r="276">
      <c r="A276" s="24" t="inlineStr">
        <is>
          <t>Transportadora</t>
        </is>
      </c>
      <c r="B276" s="24" t="inlineStr">
        <is>
          <t>20 kg</t>
        </is>
      </c>
      <c r="C276" s="24" t="inlineStr">
        <is>
          <t>40 kg</t>
        </is>
      </c>
      <c r="D276" s="24" t="inlineStr">
        <is>
          <t>60 kg</t>
        </is>
      </c>
      <c r="E276" s="24" t="inlineStr">
        <is>
          <t>80 kg</t>
        </is>
      </c>
      <c r="F276" s="24" t="inlineStr">
        <is>
          <t>100 kg</t>
        </is>
      </c>
      <c r="G276" s="24" t="inlineStr">
        <is>
          <t>120 kg</t>
        </is>
      </c>
      <c r="H276" s="24" t="inlineStr">
        <is>
          <t>Prazo (dias)</t>
        </is>
      </c>
    </row>
    <row r="277">
      <c r="A277" s="14" t="inlineStr">
        <is>
          <t>TRANSIGA FILIAL SP</t>
        </is>
      </c>
      <c r="B277" s="25" t="n">
        <v>87.90000000000001</v>
      </c>
      <c r="C277" s="25" t="n">
        <v>109.6</v>
      </c>
      <c r="D277" s="25" t="n">
        <v>138.81</v>
      </c>
      <c r="E277" s="25" t="n">
        <v>170.43</v>
      </c>
      <c r="F277" s="25" t="n">
        <v>191.42</v>
      </c>
      <c r="G277" s="25" t="n">
        <v>240.4</v>
      </c>
      <c r="H277" s="4" t="n">
        <v>7</v>
      </c>
    </row>
    <row r="278">
      <c r="A278" s="26" t="inlineStr">
        <is>
          <t>RAJLOG</t>
        </is>
      </c>
      <c r="B278" s="27" t="n">
        <v>53.05</v>
      </c>
      <c r="C278" s="27" t="n">
        <v>81.65000000000001</v>
      </c>
      <c r="D278" s="27" t="n">
        <v>117.47</v>
      </c>
      <c r="E278" s="27" t="n">
        <v>158.41</v>
      </c>
      <c r="F278" s="27" t="n">
        <v>168.64</v>
      </c>
      <c r="G278" s="27" t="n">
        <v>221.03</v>
      </c>
      <c r="H278" s="8" t="n">
        <v>5</v>
      </c>
    </row>
    <row r="279">
      <c r="A279" s="14" t="inlineStr">
        <is>
          <t>Trans Sua Log - Standard</t>
        </is>
      </c>
      <c r="B279" s="25" t="n">
        <v>80.64</v>
      </c>
      <c r="C279" s="25" t="n">
        <v>97.81999999999999</v>
      </c>
      <c r="D279" s="25" t="n">
        <v>113.18</v>
      </c>
      <c r="E279" s="25" t="n">
        <v>133.72</v>
      </c>
      <c r="F279" s="25" t="n">
        <v>158.06</v>
      </c>
      <c r="G279" s="25" t="n">
        <v>185.63</v>
      </c>
      <c r="H279" s="4" t="n">
        <v>8</v>
      </c>
    </row>
    <row r="280">
      <c r="A280" s="14" t="inlineStr">
        <is>
          <t>Transvanio</t>
        </is>
      </c>
      <c r="B280" s="25" t="n">
        <v>85.23999999999999</v>
      </c>
      <c r="C280" s="25" t="n">
        <v>104.55</v>
      </c>
      <c r="D280" s="25" t="n">
        <v>123.98</v>
      </c>
      <c r="E280" s="25" t="n">
        <v>143.61</v>
      </c>
      <c r="F280" s="25" t="n">
        <v>163.14</v>
      </c>
      <c r="G280" s="25" t="n">
        <v>196.72</v>
      </c>
      <c r="H280" s="4" t="n">
        <v>4</v>
      </c>
    </row>
    <row r="281">
      <c r="A281" s="14" t="inlineStr">
        <is>
          <t>VM TRANSPORTES</t>
        </is>
      </c>
      <c r="B281" s="25" t="n">
        <v>77.33</v>
      </c>
      <c r="C281" s="25" t="n">
        <v>97.7</v>
      </c>
      <c r="D281" s="25" t="n">
        <v>142.07</v>
      </c>
      <c r="E281" s="25" t="n">
        <v>156.45</v>
      </c>
      <c r="F281" s="25" t="n">
        <v>170.84</v>
      </c>
      <c r="G281" s="25" t="n">
        <v>206.81</v>
      </c>
      <c r="H281" s="4" t="n">
        <v>6</v>
      </c>
    </row>
    <row r="282">
      <c r="A282" s="14" t="inlineStr">
        <is>
          <t>Trilog Express</t>
        </is>
      </c>
      <c r="B282" s="25" t="n">
        <v>151.93</v>
      </c>
      <c r="C282" s="25" t="n">
        <v>168.13</v>
      </c>
      <c r="D282" s="25" t="n">
        <v>181.33</v>
      </c>
      <c r="E282" s="25" t="n">
        <v>203.5</v>
      </c>
      <c r="F282" s="25" t="n">
        <v>213.73</v>
      </c>
      <c r="G282" s="25" t="n">
        <v>250.32</v>
      </c>
      <c r="H282" s="4" t="n">
        <v>7</v>
      </c>
    </row>
    <row r="283">
      <c r="A283" s="28" t="inlineStr">
        <is>
          <t>Menor valor</t>
        </is>
      </c>
      <c r="B283" s="29">
        <f>MIN(B277:B282)</f>
        <v/>
      </c>
      <c r="C283" s="29">
        <f>MIN(C277:C282)</f>
        <v/>
      </c>
      <c r="D283" s="29">
        <f>MIN(D277:D282)</f>
        <v/>
      </c>
      <c r="E283" s="29">
        <f>MIN(E277:E282)</f>
        <v/>
      </c>
      <c r="F283" s="29">
        <f>MIN(F277:F282)</f>
        <v/>
      </c>
      <c r="G283" s="29">
        <f>MIN(G277:G282)</f>
        <v/>
      </c>
      <c r="H283" s="30" t="n"/>
    </row>
    <row r="284">
      <c r="A284" s="28" t="inlineStr">
        <is>
          <t>Transportadora mais barata</t>
        </is>
      </c>
      <c r="B284" s="31">
        <f>INDEX($A$277:$A$282,MATCH(MIN(B277:B282),B277:B282,0))</f>
        <v/>
      </c>
      <c r="C284" s="31">
        <f>INDEX($A$277:$A$282,MATCH(MIN(C277:C282),C277:C282,0))</f>
        <v/>
      </c>
      <c r="D284" s="31">
        <f>INDEX($A$277:$A$282,MATCH(MIN(D277:D282),D277:D282,0))</f>
        <v/>
      </c>
      <c r="E284" s="31">
        <f>INDEX($A$277:$A$282,MATCH(MIN(E277:E282),E277:E282,0))</f>
        <v/>
      </c>
      <c r="F284" s="31">
        <f>INDEX($A$277:$A$282,MATCH(MIN(F277:F282),F277:F282,0))</f>
        <v/>
      </c>
      <c r="G284" s="31">
        <f>INDEX($A$277:$A$282,MATCH(MIN(G277:G282),G277:G282,0))</f>
        <v/>
      </c>
      <c r="H284" s="32" t="n"/>
    </row>
    <row r="285">
      <c r="A285" s="28" t="inlineStr">
        <is>
          <t>Posição RAJLOG</t>
        </is>
      </c>
      <c r="B285" s="33">
        <f>(COUNTIF(B277:B282,"&lt;"&amp;B278)+1)&amp;"º de "&amp;COUNT(B277:B282)</f>
        <v/>
      </c>
      <c r="C285" s="33">
        <f>(COUNTIF(C277:C282,"&lt;"&amp;C278)+1)&amp;"º de "&amp;COUNT(C277:C282)</f>
        <v/>
      </c>
      <c r="D285" s="33">
        <f>(COUNTIF(D277:D282,"&lt;"&amp;D278)+1)&amp;"º de "&amp;COUNT(D277:D282)</f>
        <v/>
      </c>
      <c r="E285" s="33">
        <f>(COUNTIF(E277:E282,"&lt;"&amp;E278)+1)&amp;"º de "&amp;COUNT(E277:E282)</f>
        <v/>
      </c>
      <c r="F285" s="33">
        <f>(COUNTIF(F277:F282,"&lt;"&amp;F278)+1)&amp;"º de "&amp;COUNT(F277:F282)</f>
        <v/>
      </c>
      <c r="G285" s="33">
        <f>(COUNTIF(G277:G282,"&lt;"&amp;G278)+1)&amp;"º de "&amp;COUNT(G277:G282)</f>
        <v/>
      </c>
      <c r="H285" s="30" t="n"/>
    </row>
    <row r="286">
      <c r="A286" s="28" t="inlineStr">
        <is>
          <t>RAJLOG x concorrente mais barato</t>
        </is>
      </c>
      <c r="B286" s="34">
        <f>B278/MIN(B277:B277,B279:B282)-1</f>
        <v/>
      </c>
      <c r="C286" s="34">
        <f>C278/MIN(C277:C277,C279:C282)-1</f>
        <v/>
      </c>
      <c r="D286" s="34">
        <f>D278/MIN(D277:D277,D279:D282)-1</f>
        <v/>
      </c>
      <c r="E286" s="34">
        <f>E278/MIN(E277:E277,E279:E282)-1</f>
        <v/>
      </c>
      <c r="F286" s="34">
        <f>F278/MIN(F277:F277,F279:F282)-1</f>
        <v/>
      </c>
      <c r="G286" s="34">
        <f>G278/MIN(G277:G277,G279:G282)-1</f>
        <v/>
      </c>
      <c r="H286" s="30" t="n"/>
    </row>
    <row r="287">
      <c r="A287" s="28" t="inlineStr">
        <is>
          <t>RAJLOG x média das demais</t>
        </is>
      </c>
      <c r="B287" s="34">
        <f>B278/((SUM(B277:B282)-B278)/(COUNT(B277:B282)-1))-1</f>
        <v/>
      </c>
      <c r="C287" s="34">
        <f>C278/((SUM(C277:C282)-C278)/(COUNT(C277:C282)-1))-1</f>
        <v/>
      </c>
      <c r="D287" s="34">
        <f>D278/((SUM(D277:D282)-D278)/(COUNT(D277:D282)-1))-1</f>
        <v/>
      </c>
      <c r="E287" s="34">
        <f>E278/((SUM(E277:E282)-E278)/(COUNT(E277:E282)-1))-1</f>
        <v/>
      </c>
      <c r="F287" s="34">
        <f>F278/((SUM(F277:F282)-F278)/(COUNT(F277:F282)-1))-1</f>
        <v/>
      </c>
      <c r="G287" s="34">
        <f>G278/((SUM(G277:G282)-G278)/(COUNT(G277:G282)-1))-1</f>
        <v/>
      </c>
      <c r="H287" s="30" t="n"/>
    </row>
    <row r="290">
      <c r="A290" s="22" t="inlineStr">
        <is>
          <t>Osasco - 06140-000</t>
        </is>
      </c>
      <c r="B290" s="23" t="n"/>
      <c r="C290" s="23" t="n"/>
      <c r="D290" s="23" t="n"/>
      <c r="E290" s="23" t="n"/>
      <c r="F290" s="23" t="n"/>
      <c r="G290" s="23" t="n"/>
      <c r="H290" s="23" t="n"/>
    </row>
    <row r="291">
      <c r="A291" s="24" t="inlineStr">
        <is>
          <t>Transportadora</t>
        </is>
      </c>
      <c r="B291" s="24" t="inlineStr">
        <is>
          <t>20 kg</t>
        </is>
      </c>
      <c r="C291" s="24" t="inlineStr">
        <is>
          <t>40 kg</t>
        </is>
      </c>
      <c r="D291" s="24" t="inlineStr">
        <is>
          <t>60 kg</t>
        </is>
      </c>
      <c r="E291" s="24" t="inlineStr">
        <is>
          <t>80 kg</t>
        </is>
      </c>
      <c r="F291" s="24" t="inlineStr">
        <is>
          <t>100 kg</t>
        </is>
      </c>
      <c r="G291" s="24" t="inlineStr">
        <is>
          <t>120 kg</t>
        </is>
      </c>
      <c r="H291" s="24" t="inlineStr">
        <is>
          <t>Prazo (dias)</t>
        </is>
      </c>
    </row>
    <row r="292">
      <c r="A292" s="14" t="inlineStr">
        <is>
          <t>TRANSIGA FILIAL SP</t>
        </is>
      </c>
      <c r="B292" s="25" t="n">
        <v>87.90000000000001</v>
      </c>
      <c r="C292" s="25" t="n">
        <v>109.6</v>
      </c>
      <c r="D292" s="25" t="n">
        <v>138.81</v>
      </c>
      <c r="E292" s="25" t="n">
        <v>170.43</v>
      </c>
      <c r="F292" s="25" t="n">
        <v>191.42</v>
      </c>
      <c r="G292" s="25" t="n">
        <v>240.4</v>
      </c>
      <c r="H292" s="4" t="n">
        <v>7</v>
      </c>
    </row>
    <row r="293">
      <c r="A293" s="26" t="inlineStr">
        <is>
          <t>RAJLOG</t>
        </is>
      </c>
      <c r="B293" s="27" t="n">
        <v>53.05</v>
      </c>
      <c r="C293" s="27" t="n">
        <v>81.65000000000001</v>
      </c>
      <c r="D293" s="27" t="n">
        <v>117.47</v>
      </c>
      <c r="E293" s="27" t="n">
        <v>158.41</v>
      </c>
      <c r="F293" s="27" t="n">
        <v>168.64</v>
      </c>
      <c r="G293" s="27" t="n">
        <v>221.03</v>
      </c>
      <c r="H293" s="8" t="n">
        <v>5</v>
      </c>
    </row>
    <row r="294">
      <c r="A294" s="14" t="inlineStr">
        <is>
          <t>Trans Sua Log - Standard</t>
        </is>
      </c>
      <c r="B294" s="25" t="n">
        <v>80.64</v>
      </c>
      <c r="C294" s="25" t="n">
        <v>97.81999999999999</v>
      </c>
      <c r="D294" s="25" t="n">
        <v>113.18</v>
      </c>
      <c r="E294" s="25" t="n">
        <v>133.72</v>
      </c>
      <c r="F294" s="25" t="n">
        <v>158.06</v>
      </c>
      <c r="G294" s="25" t="n">
        <v>185.63</v>
      </c>
      <c r="H294" s="4" t="n">
        <v>8</v>
      </c>
    </row>
    <row r="295">
      <c r="A295" s="14" t="inlineStr">
        <is>
          <t>Transvanio</t>
        </is>
      </c>
      <c r="B295" s="25" t="n">
        <v>85.23999999999999</v>
      </c>
      <c r="C295" s="25" t="n">
        <v>104.55</v>
      </c>
      <c r="D295" s="25" t="n">
        <v>123.98</v>
      </c>
      <c r="E295" s="25" t="n">
        <v>143.61</v>
      </c>
      <c r="F295" s="25" t="n">
        <v>163.14</v>
      </c>
      <c r="G295" s="25" t="n">
        <v>196.72</v>
      </c>
      <c r="H295" s="4" t="n">
        <v>4</v>
      </c>
    </row>
    <row r="296">
      <c r="A296" s="14" t="inlineStr">
        <is>
          <t>VM TRANSPORTES</t>
        </is>
      </c>
      <c r="B296" s="25" t="n">
        <v>77.33</v>
      </c>
      <c r="C296" s="25" t="n">
        <v>97.7</v>
      </c>
      <c r="D296" s="25" t="n">
        <v>142.07</v>
      </c>
      <c r="E296" s="25" t="n">
        <v>156.45</v>
      </c>
      <c r="F296" s="25" t="n">
        <v>170.84</v>
      </c>
      <c r="G296" s="25" t="n">
        <v>206.81</v>
      </c>
      <c r="H296" s="4" t="n">
        <v>8</v>
      </c>
    </row>
    <row r="297">
      <c r="A297" s="14" t="inlineStr">
        <is>
          <t>Zelog Standard</t>
        </is>
      </c>
      <c r="B297" s="25" t="n">
        <v>80.78</v>
      </c>
      <c r="C297" s="25" t="n">
        <v>94.84</v>
      </c>
      <c r="D297" s="25" t="n">
        <v>121.74</v>
      </c>
      <c r="E297" s="25" t="n">
        <v>148.61</v>
      </c>
      <c r="F297" s="25" t="n">
        <v>158.84</v>
      </c>
      <c r="G297" s="25" t="n">
        <v>179.53</v>
      </c>
      <c r="H297" s="4" t="n">
        <v>4</v>
      </c>
    </row>
    <row r="298">
      <c r="A298" s="14" t="inlineStr">
        <is>
          <t>Trilog Express</t>
        </is>
      </c>
      <c r="B298" s="25" t="n">
        <v>151.93</v>
      </c>
      <c r="C298" s="25" t="n">
        <v>168.13</v>
      </c>
      <c r="D298" s="25" t="n">
        <v>181.33</v>
      </c>
      <c r="E298" s="25" t="n">
        <v>203.5</v>
      </c>
      <c r="F298" s="25" t="n">
        <v>213.73</v>
      </c>
      <c r="G298" s="25" t="n">
        <v>250.32</v>
      </c>
      <c r="H298" s="4" t="n">
        <v>7</v>
      </c>
    </row>
    <row r="299">
      <c r="A299" s="28" t="inlineStr">
        <is>
          <t>Menor valor</t>
        </is>
      </c>
      <c r="B299" s="29">
        <f>MIN(B292:B298)</f>
        <v/>
      </c>
      <c r="C299" s="29">
        <f>MIN(C292:C298)</f>
        <v/>
      </c>
      <c r="D299" s="29">
        <f>MIN(D292:D298)</f>
        <v/>
      </c>
      <c r="E299" s="29">
        <f>MIN(E292:E298)</f>
        <v/>
      </c>
      <c r="F299" s="29">
        <f>MIN(F292:F298)</f>
        <v/>
      </c>
      <c r="G299" s="29">
        <f>MIN(G292:G298)</f>
        <v/>
      </c>
      <c r="H299" s="30" t="n"/>
    </row>
    <row r="300">
      <c r="A300" s="28" t="inlineStr">
        <is>
          <t>Transportadora mais barata</t>
        </is>
      </c>
      <c r="B300" s="31">
        <f>INDEX($A$292:$A$298,MATCH(MIN(B292:B298),B292:B298,0))</f>
        <v/>
      </c>
      <c r="C300" s="31">
        <f>INDEX($A$292:$A$298,MATCH(MIN(C292:C298),C292:C298,0))</f>
        <v/>
      </c>
      <c r="D300" s="31">
        <f>INDEX($A$292:$A$298,MATCH(MIN(D292:D298),D292:D298,0))</f>
        <v/>
      </c>
      <c r="E300" s="31">
        <f>INDEX($A$292:$A$298,MATCH(MIN(E292:E298),E292:E298,0))</f>
        <v/>
      </c>
      <c r="F300" s="31">
        <f>INDEX($A$292:$A$298,MATCH(MIN(F292:F298),F292:F298,0))</f>
        <v/>
      </c>
      <c r="G300" s="31">
        <f>INDEX($A$292:$A$298,MATCH(MIN(G292:G298),G292:G298,0))</f>
        <v/>
      </c>
      <c r="H300" s="32" t="n"/>
    </row>
    <row r="301">
      <c r="A301" s="28" t="inlineStr">
        <is>
          <t>Posição RAJLOG</t>
        </is>
      </c>
      <c r="B301" s="33">
        <f>(COUNTIF(B292:B298,"&lt;"&amp;B293)+1)&amp;"º de "&amp;COUNT(B292:B298)</f>
        <v/>
      </c>
      <c r="C301" s="33">
        <f>(COUNTIF(C292:C298,"&lt;"&amp;C293)+1)&amp;"º de "&amp;COUNT(C292:C298)</f>
        <v/>
      </c>
      <c r="D301" s="33">
        <f>(COUNTIF(D292:D298,"&lt;"&amp;D293)+1)&amp;"º de "&amp;COUNT(D292:D298)</f>
        <v/>
      </c>
      <c r="E301" s="33">
        <f>(COUNTIF(E292:E298,"&lt;"&amp;E293)+1)&amp;"º de "&amp;COUNT(E292:E298)</f>
        <v/>
      </c>
      <c r="F301" s="33">
        <f>(COUNTIF(F292:F298,"&lt;"&amp;F293)+1)&amp;"º de "&amp;COUNT(F292:F298)</f>
        <v/>
      </c>
      <c r="G301" s="33">
        <f>(COUNTIF(G292:G298,"&lt;"&amp;G293)+1)&amp;"º de "&amp;COUNT(G292:G298)</f>
        <v/>
      </c>
      <c r="H301" s="30" t="n"/>
    </row>
    <row r="302">
      <c r="A302" s="28" t="inlineStr">
        <is>
          <t>RAJLOG x concorrente mais barato</t>
        </is>
      </c>
      <c r="B302" s="34">
        <f>B293/MIN(B292:B292,B294:B298)-1</f>
        <v/>
      </c>
      <c r="C302" s="34">
        <f>C293/MIN(C292:C292,C294:C298)-1</f>
        <v/>
      </c>
      <c r="D302" s="34">
        <f>D293/MIN(D292:D292,D294:D298)-1</f>
        <v/>
      </c>
      <c r="E302" s="34">
        <f>E293/MIN(E292:E292,E294:E298)-1</f>
        <v/>
      </c>
      <c r="F302" s="34">
        <f>F293/MIN(F292:F292,F294:F298)-1</f>
        <v/>
      </c>
      <c r="G302" s="34">
        <f>G293/MIN(G292:G292,G294:G298)-1</f>
        <v/>
      </c>
      <c r="H302" s="30" t="n"/>
    </row>
    <row r="303">
      <c r="A303" s="28" t="inlineStr">
        <is>
          <t>RAJLOG x média das demais</t>
        </is>
      </c>
      <c r="B303" s="34">
        <f>B293/((SUM(B292:B298)-B293)/(COUNT(B292:B298)-1))-1</f>
        <v/>
      </c>
      <c r="C303" s="34">
        <f>C293/((SUM(C292:C298)-C293)/(COUNT(C292:C298)-1))-1</f>
        <v/>
      </c>
      <c r="D303" s="34">
        <f>D293/((SUM(D292:D298)-D293)/(COUNT(D292:D298)-1))-1</f>
        <v/>
      </c>
      <c r="E303" s="34">
        <f>E293/((SUM(E292:E298)-E293)/(COUNT(E292:E298)-1))-1</f>
        <v/>
      </c>
      <c r="F303" s="34">
        <f>F293/((SUM(F292:F298)-F293)/(COUNT(F292:F298)-1))-1</f>
        <v/>
      </c>
      <c r="G303" s="34">
        <f>G293/((SUM(G292:G298)-G293)/(COUNT(G292:G298)-1))-1</f>
        <v/>
      </c>
      <c r="H303" s="30" t="n"/>
    </row>
    <row r="306">
      <c r="A306" s="22" t="inlineStr">
        <is>
          <t>Santana de Parnaíba - 06528-305</t>
        </is>
      </c>
      <c r="B306" s="23" t="n"/>
      <c r="C306" s="23" t="n"/>
      <c r="D306" s="23" t="n"/>
      <c r="E306" s="23" t="n"/>
      <c r="F306" s="23" t="n"/>
      <c r="G306" s="23" t="n"/>
      <c r="H306" s="23" t="n"/>
    </row>
    <row r="307">
      <c r="A307" s="24" t="inlineStr">
        <is>
          <t>Transportadora</t>
        </is>
      </c>
      <c r="B307" s="24" t="inlineStr">
        <is>
          <t>20 kg</t>
        </is>
      </c>
      <c r="C307" s="24" t="inlineStr">
        <is>
          <t>40 kg</t>
        </is>
      </c>
      <c r="D307" s="24" t="inlineStr">
        <is>
          <t>60 kg</t>
        </is>
      </c>
      <c r="E307" s="24" t="inlineStr">
        <is>
          <t>80 kg</t>
        </is>
      </c>
      <c r="F307" s="24" t="inlineStr">
        <is>
          <t>100 kg</t>
        </is>
      </c>
      <c r="G307" s="24" t="inlineStr">
        <is>
          <t>120 kg</t>
        </is>
      </c>
      <c r="H307" s="24" t="inlineStr">
        <is>
          <t>Prazo (dias)</t>
        </is>
      </c>
    </row>
    <row r="308">
      <c r="A308" s="14" t="inlineStr">
        <is>
          <t>TRANSIGA FILIAL SP</t>
        </is>
      </c>
      <c r="B308" s="25" t="n">
        <v>87.90000000000001</v>
      </c>
      <c r="C308" s="25" t="n">
        <v>109.6</v>
      </c>
      <c r="D308" s="25" t="n">
        <v>138.81</v>
      </c>
      <c r="E308" s="25" t="n">
        <v>170.43</v>
      </c>
      <c r="F308" s="25" t="n">
        <v>191.42</v>
      </c>
      <c r="G308" s="25" t="n">
        <v>240.4</v>
      </c>
      <c r="H308" s="4" t="n">
        <v>7</v>
      </c>
    </row>
    <row r="309">
      <c r="A309" s="26" t="inlineStr">
        <is>
          <t>RAJLOG</t>
        </is>
      </c>
      <c r="B309" s="27" t="n">
        <v>53.05</v>
      </c>
      <c r="C309" s="27" t="n">
        <v>81.65000000000001</v>
      </c>
      <c r="D309" s="27" t="n">
        <v>117.47</v>
      </c>
      <c r="E309" s="27" t="n">
        <v>158.41</v>
      </c>
      <c r="F309" s="27" t="n">
        <v>168.64</v>
      </c>
      <c r="G309" s="27" t="n">
        <v>221.03</v>
      </c>
      <c r="H309" s="8" t="n">
        <v>5</v>
      </c>
    </row>
    <row r="310">
      <c r="A310" s="14" t="inlineStr">
        <is>
          <t>Trans Sua Log - Standard</t>
        </is>
      </c>
      <c r="B310" s="25" t="n">
        <v>80.64</v>
      </c>
      <c r="C310" s="25" t="n">
        <v>97.81999999999999</v>
      </c>
      <c r="D310" s="25" t="n">
        <v>113.18</v>
      </c>
      <c r="E310" s="25" t="n">
        <v>133.72</v>
      </c>
      <c r="F310" s="25" t="n">
        <v>158.06</v>
      </c>
      <c r="G310" s="25" t="n">
        <v>185.63</v>
      </c>
      <c r="H310" s="4" t="n">
        <v>8</v>
      </c>
    </row>
    <row r="311">
      <c r="A311" s="14" t="inlineStr">
        <is>
          <t>Transvanio</t>
        </is>
      </c>
      <c r="B311" s="25" t="n">
        <v>146.89</v>
      </c>
      <c r="C311" s="25" t="n">
        <v>163.92</v>
      </c>
      <c r="D311" s="25" t="n">
        <v>183.35</v>
      </c>
      <c r="E311" s="25" t="n">
        <v>202.99</v>
      </c>
      <c r="F311" s="25" t="n">
        <v>222.51</v>
      </c>
      <c r="G311" s="25" t="n">
        <v>258.65</v>
      </c>
      <c r="H311" s="4" t="n">
        <v>4</v>
      </c>
    </row>
    <row r="312">
      <c r="A312" s="14" t="inlineStr">
        <is>
          <t>VM TRANSPORTES</t>
        </is>
      </c>
      <c r="B312" s="25" t="n">
        <v>77.33</v>
      </c>
      <c r="C312" s="25" t="n">
        <v>97.7</v>
      </c>
      <c r="D312" s="25" t="n">
        <v>142.07</v>
      </c>
      <c r="E312" s="25" t="n">
        <v>156.45</v>
      </c>
      <c r="F312" s="25" t="n">
        <v>170.84</v>
      </c>
      <c r="G312" s="25" t="n">
        <v>206.81</v>
      </c>
      <c r="H312" s="4" t="n">
        <v>8</v>
      </c>
    </row>
    <row r="313">
      <c r="A313" s="14" t="inlineStr">
        <is>
          <t>Trilog Express</t>
        </is>
      </c>
      <c r="B313" s="25" t="n">
        <v>134.89</v>
      </c>
      <c r="C313" s="25" t="n">
        <v>151.08</v>
      </c>
      <c r="D313" s="25" t="n">
        <v>164.28</v>
      </c>
      <c r="E313" s="25" t="n">
        <v>186.45</v>
      </c>
      <c r="F313" s="25" t="n">
        <v>196.68</v>
      </c>
      <c r="G313" s="25" t="n">
        <v>233.27</v>
      </c>
      <c r="H313" s="4" t="n">
        <v>7</v>
      </c>
    </row>
    <row r="314">
      <c r="A314" s="28" t="inlineStr">
        <is>
          <t>Menor valor</t>
        </is>
      </c>
      <c r="B314" s="29">
        <f>MIN(B308:B313)</f>
        <v/>
      </c>
      <c r="C314" s="29">
        <f>MIN(C308:C313)</f>
        <v/>
      </c>
      <c r="D314" s="29">
        <f>MIN(D308:D313)</f>
        <v/>
      </c>
      <c r="E314" s="29">
        <f>MIN(E308:E313)</f>
        <v/>
      </c>
      <c r="F314" s="29">
        <f>MIN(F308:F313)</f>
        <v/>
      </c>
      <c r="G314" s="29">
        <f>MIN(G308:G313)</f>
        <v/>
      </c>
      <c r="H314" s="30" t="n"/>
    </row>
    <row r="315">
      <c r="A315" s="28" t="inlineStr">
        <is>
          <t>Transportadora mais barata</t>
        </is>
      </c>
      <c r="B315" s="31">
        <f>INDEX($A$308:$A$313,MATCH(MIN(B308:B313),B308:B313,0))</f>
        <v/>
      </c>
      <c r="C315" s="31">
        <f>INDEX($A$308:$A$313,MATCH(MIN(C308:C313),C308:C313,0))</f>
        <v/>
      </c>
      <c r="D315" s="31">
        <f>INDEX($A$308:$A$313,MATCH(MIN(D308:D313),D308:D313,0))</f>
        <v/>
      </c>
      <c r="E315" s="31">
        <f>INDEX($A$308:$A$313,MATCH(MIN(E308:E313),E308:E313,0))</f>
        <v/>
      </c>
      <c r="F315" s="31">
        <f>INDEX($A$308:$A$313,MATCH(MIN(F308:F313),F308:F313,0))</f>
        <v/>
      </c>
      <c r="G315" s="31">
        <f>INDEX($A$308:$A$313,MATCH(MIN(G308:G313),G308:G313,0))</f>
        <v/>
      </c>
      <c r="H315" s="32" t="n"/>
    </row>
    <row r="316">
      <c r="A316" s="28" t="inlineStr">
        <is>
          <t>Posição RAJLOG</t>
        </is>
      </c>
      <c r="B316" s="33">
        <f>(COUNTIF(B308:B313,"&lt;"&amp;B309)+1)&amp;"º de "&amp;COUNT(B308:B313)</f>
        <v/>
      </c>
      <c r="C316" s="33">
        <f>(COUNTIF(C308:C313,"&lt;"&amp;C309)+1)&amp;"º de "&amp;COUNT(C308:C313)</f>
        <v/>
      </c>
      <c r="D316" s="33">
        <f>(COUNTIF(D308:D313,"&lt;"&amp;D309)+1)&amp;"º de "&amp;COUNT(D308:D313)</f>
        <v/>
      </c>
      <c r="E316" s="33">
        <f>(COUNTIF(E308:E313,"&lt;"&amp;E309)+1)&amp;"º de "&amp;COUNT(E308:E313)</f>
        <v/>
      </c>
      <c r="F316" s="33">
        <f>(COUNTIF(F308:F313,"&lt;"&amp;F309)+1)&amp;"º de "&amp;COUNT(F308:F313)</f>
        <v/>
      </c>
      <c r="G316" s="33">
        <f>(COUNTIF(G308:G313,"&lt;"&amp;G309)+1)&amp;"º de "&amp;COUNT(G308:G313)</f>
        <v/>
      </c>
      <c r="H316" s="30" t="n"/>
    </row>
    <row r="317">
      <c r="A317" s="28" t="inlineStr">
        <is>
          <t>RAJLOG x concorrente mais barato</t>
        </is>
      </c>
      <c r="B317" s="34">
        <f>B309/MIN(B308:B308,B310:B313)-1</f>
        <v/>
      </c>
      <c r="C317" s="34">
        <f>C309/MIN(C308:C308,C310:C313)-1</f>
        <v/>
      </c>
      <c r="D317" s="34">
        <f>D309/MIN(D308:D308,D310:D313)-1</f>
        <v/>
      </c>
      <c r="E317" s="34">
        <f>E309/MIN(E308:E308,E310:E313)-1</f>
        <v/>
      </c>
      <c r="F317" s="34">
        <f>F309/MIN(F308:F308,F310:F313)-1</f>
        <v/>
      </c>
      <c r="G317" s="34">
        <f>G309/MIN(G308:G308,G310:G313)-1</f>
        <v/>
      </c>
      <c r="H317" s="30" t="n"/>
    </row>
    <row r="318">
      <c r="A318" s="28" t="inlineStr">
        <is>
          <t>RAJLOG x média das demais</t>
        </is>
      </c>
      <c r="B318" s="34">
        <f>B309/((SUM(B308:B313)-B309)/(COUNT(B308:B313)-1))-1</f>
        <v/>
      </c>
      <c r="C318" s="34">
        <f>C309/((SUM(C308:C313)-C309)/(COUNT(C308:C313)-1))-1</f>
        <v/>
      </c>
      <c r="D318" s="34">
        <f>D309/((SUM(D308:D313)-D309)/(COUNT(D308:D313)-1))-1</f>
        <v/>
      </c>
      <c r="E318" s="34">
        <f>E309/((SUM(E308:E313)-E309)/(COUNT(E308:E313)-1))-1</f>
        <v/>
      </c>
      <c r="F318" s="34">
        <f>F309/((SUM(F308:F313)-F309)/(COUNT(F308:F313)-1))-1</f>
        <v/>
      </c>
      <c r="G318" s="34">
        <f>G309/((SUM(G308:G313)-G309)/(COUNT(G308:G313)-1))-1</f>
        <v/>
      </c>
      <c r="H318" s="30" t="n"/>
    </row>
    <row r="321">
      <c r="A321" s="22" t="inlineStr">
        <is>
          <t>Santo André - 09070-010</t>
        </is>
      </c>
      <c r="B321" s="23" t="n"/>
      <c r="C321" s="23" t="n"/>
      <c r="D321" s="23" t="n"/>
      <c r="E321" s="23" t="n"/>
      <c r="F321" s="23" t="n"/>
      <c r="G321" s="23" t="n"/>
      <c r="H321" s="23" t="n"/>
    </row>
    <row r="322">
      <c r="A322" s="24" t="inlineStr">
        <is>
          <t>Transportadora</t>
        </is>
      </c>
      <c r="B322" s="24" t="inlineStr">
        <is>
          <t>20 kg</t>
        </is>
      </c>
      <c r="C322" s="24" t="inlineStr">
        <is>
          <t>40 kg</t>
        </is>
      </c>
      <c r="D322" s="24" t="inlineStr">
        <is>
          <t>60 kg</t>
        </is>
      </c>
      <c r="E322" s="24" t="inlineStr">
        <is>
          <t>80 kg</t>
        </is>
      </c>
      <c r="F322" s="24" t="inlineStr">
        <is>
          <t>100 kg</t>
        </is>
      </c>
      <c r="G322" s="24" t="inlineStr">
        <is>
          <t>120 kg</t>
        </is>
      </c>
      <c r="H322" s="24" t="inlineStr">
        <is>
          <t>Prazo (dias)</t>
        </is>
      </c>
    </row>
    <row r="323">
      <c r="A323" s="14" t="inlineStr">
        <is>
          <t>TRANSIGA FILIAL SP</t>
        </is>
      </c>
      <c r="B323" s="25" t="n">
        <v>121.99</v>
      </c>
      <c r="C323" s="25" t="n">
        <v>143.69</v>
      </c>
      <c r="D323" s="25" t="n">
        <v>172.9</v>
      </c>
      <c r="E323" s="25" t="n">
        <v>204.52</v>
      </c>
      <c r="F323" s="25" t="n">
        <v>225.51</v>
      </c>
      <c r="G323" s="25" t="n">
        <v>274.49</v>
      </c>
      <c r="H323" s="4" t="n">
        <v>7</v>
      </c>
    </row>
    <row r="324">
      <c r="A324" s="26" t="inlineStr">
        <is>
          <t>RAJLOG</t>
        </is>
      </c>
      <c r="B324" s="27" t="n">
        <v>53.05</v>
      </c>
      <c r="C324" s="27" t="n">
        <v>81.65000000000001</v>
      </c>
      <c r="D324" s="27" t="n">
        <v>117.47</v>
      </c>
      <c r="E324" s="27" t="n">
        <v>158.41</v>
      </c>
      <c r="F324" s="27" t="n">
        <v>168.64</v>
      </c>
      <c r="G324" s="27" t="n">
        <v>221.03</v>
      </c>
      <c r="H324" s="8" t="n">
        <v>5</v>
      </c>
    </row>
    <row r="325">
      <c r="A325" s="14" t="inlineStr">
        <is>
          <t>Trans Sua Log - Standard</t>
        </is>
      </c>
      <c r="B325" s="25" t="n">
        <v>80.64</v>
      </c>
      <c r="C325" s="25" t="n">
        <v>97.81999999999999</v>
      </c>
      <c r="D325" s="25" t="n">
        <v>113.18</v>
      </c>
      <c r="E325" s="25" t="n">
        <v>133.72</v>
      </c>
      <c r="F325" s="25" t="n">
        <v>158.06</v>
      </c>
      <c r="G325" s="25" t="n">
        <v>185.63</v>
      </c>
      <c r="H325" s="4" t="n">
        <v>8</v>
      </c>
    </row>
    <row r="326">
      <c r="A326" s="14" t="inlineStr">
        <is>
          <t>Transvanio</t>
        </is>
      </c>
      <c r="B326" s="25" t="n">
        <v>87.8</v>
      </c>
      <c r="C326" s="25" t="n">
        <v>107.1</v>
      </c>
      <c r="D326" s="25" t="n">
        <v>126.53</v>
      </c>
      <c r="E326" s="25" t="n">
        <v>146.17</v>
      </c>
      <c r="F326" s="25" t="n">
        <v>165.69</v>
      </c>
      <c r="G326" s="25" t="n">
        <v>201.83</v>
      </c>
      <c r="H326" s="4" t="n">
        <v>4</v>
      </c>
    </row>
    <row r="327">
      <c r="A327" s="14" t="inlineStr">
        <is>
          <t>Zelog Standard</t>
        </is>
      </c>
      <c r="B327" s="25" t="n">
        <v>78.43000000000001</v>
      </c>
      <c r="C327" s="25" t="n">
        <v>95.93000000000001</v>
      </c>
      <c r="D327" s="25" t="n">
        <v>120.32</v>
      </c>
      <c r="E327" s="25" t="n">
        <v>144.7</v>
      </c>
      <c r="F327" s="25" t="n">
        <v>154.93</v>
      </c>
      <c r="G327" s="25" t="n">
        <v>176.81</v>
      </c>
      <c r="H327" s="4" t="n">
        <v>4</v>
      </c>
    </row>
    <row r="328">
      <c r="A328" s="14" t="inlineStr">
        <is>
          <t>Trilog Express</t>
        </is>
      </c>
      <c r="B328" s="25" t="n">
        <v>134.89</v>
      </c>
      <c r="C328" s="25" t="n">
        <v>151.08</v>
      </c>
      <c r="D328" s="25" t="n">
        <v>164.28</v>
      </c>
      <c r="E328" s="25" t="n">
        <v>186.45</v>
      </c>
      <c r="F328" s="25" t="n">
        <v>196.68</v>
      </c>
      <c r="G328" s="25" t="n">
        <v>233.27</v>
      </c>
      <c r="H328" s="4" t="n">
        <v>7</v>
      </c>
    </row>
    <row r="329">
      <c r="A329" s="28" t="inlineStr">
        <is>
          <t>Menor valor</t>
        </is>
      </c>
      <c r="B329" s="29">
        <f>MIN(B323:B328)</f>
        <v/>
      </c>
      <c r="C329" s="29">
        <f>MIN(C323:C328)</f>
        <v/>
      </c>
      <c r="D329" s="29">
        <f>MIN(D323:D328)</f>
        <v/>
      </c>
      <c r="E329" s="29">
        <f>MIN(E323:E328)</f>
        <v/>
      </c>
      <c r="F329" s="29">
        <f>MIN(F323:F328)</f>
        <v/>
      </c>
      <c r="G329" s="29">
        <f>MIN(G323:G328)</f>
        <v/>
      </c>
      <c r="H329" s="30" t="n"/>
    </row>
    <row r="330">
      <c r="A330" s="28" t="inlineStr">
        <is>
          <t>Transportadora mais barata</t>
        </is>
      </c>
      <c r="B330" s="31">
        <f>INDEX($A$323:$A$328,MATCH(MIN(B323:B328),B323:B328,0))</f>
        <v/>
      </c>
      <c r="C330" s="31">
        <f>INDEX($A$323:$A$328,MATCH(MIN(C323:C328),C323:C328,0))</f>
        <v/>
      </c>
      <c r="D330" s="31">
        <f>INDEX($A$323:$A$328,MATCH(MIN(D323:D328),D323:D328,0))</f>
        <v/>
      </c>
      <c r="E330" s="31">
        <f>INDEX($A$323:$A$328,MATCH(MIN(E323:E328),E323:E328,0))</f>
        <v/>
      </c>
      <c r="F330" s="31">
        <f>INDEX($A$323:$A$328,MATCH(MIN(F323:F328),F323:F328,0))</f>
        <v/>
      </c>
      <c r="G330" s="31">
        <f>INDEX($A$323:$A$328,MATCH(MIN(G323:G328),G323:G328,0))</f>
        <v/>
      </c>
      <c r="H330" s="32" t="n"/>
    </row>
    <row r="331">
      <c r="A331" s="28" t="inlineStr">
        <is>
          <t>Posição RAJLOG</t>
        </is>
      </c>
      <c r="B331" s="33">
        <f>(COUNTIF(B323:B328,"&lt;"&amp;B324)+1)&amp;"º de "&amp;COUNT(B323:B328)</f>
        <v/>
      </c>
      <c r="C331" s="33">
        <f>(COUNTIF(C323:C328,"&lt;"&amp;C324)+1)&amp;"º de "&amp;COUNT(C323:C328)</f>
        <v/>
      </c>
      <c r="D331" s="33">
        <f>(COUNTIF(D323:D328,"&lt;"&amp;D324)+1)&amp;"º de "&amp;COUNT(D323:D328)</f>
        <v/>
      </c>
      <c r="E331" s="33">
        <f>(COUNTIF(E323:E328,"&lt;"&amp;E324)+1)&amp;"º de "&amp;COUNT(E323:E328)</f>
        <v/>
      </c>
      <c r="F331" s="33">
        <f>(COUNTIF(F323:F328,"&lt;"&amp;F324)+1)&amp;"º de "&amp;COUNT(F323:F328)</f>
        <v/>
      </c>
      <c r="G331" s="33">
        <f>(COUNTIF(G323:G328,"&lt;"&amp;G324)+1)&amp;"º de "&amp;COUNT(G323:G328)</f>
        <v/>
      </c>
      <c r="H331" s="30" t="n"/>
    </row>
    <row r="332">
      <c r="A332" s="28" t="inlineStr">
        <is>
          <t>RAJLOG x concorrente mais barato</t>
        </is>
      </c>
      <c r="B332" s="34">
        <f>B324/MIN(B323:B323,B325:B328)-1</f>
        <v/>
      </c>
      <c r="C332" s="34">
        <f>C324/MIN(C323:C323,C325:C328)-1</f>
        <v/>
      </c>
      <c r="D332" s="34">
        <f>D324/MIN(D323:D323,D325:D328)-1</f>
        <v/>
      </c>
      <c r="E332" s="34">
        <f>E324/MIN(E323:E323,E325:E328)-1</f>
        <v/>
      </c>
      <c r="F332" s="34">
        <f>F324/MIN(F323:F323,F325:F328)-1</f>
        <v/>
      </c>
      <c r="G332" s="34">
        <f>G324/MIN(G323:G323,G325:G328)-1</f>
        <v/>
      </c>
      <c r="H332" s="30" t="n"/>
    </row>
    <row r="333">
      <c r="A333" s="28" t="inlineStr">
        <is>
          <t>RAJLOG x média das demais</t>
        </is>
      </c>
      <c r="B333" s="34">
        <f>B324/((SUM(B323:B328)-B324)/(COUNT(B323:B328)-1))-1</f>
        <v/>
      </c>
      <c r="C333" s="34">
        <f>C324/((SUM(C323:C328)-C324)/(COUNT(C323:C328)-1))-1</f>
        <v/>
      </c>
      <c r="D333" s="34">
        <f>D324/((SUM(D323:D328)-D324)/(COUNT(D323:D328)-1))-1</f>
        <v/>
      </c>
      <c r="E333" s="34">
        <f>E324/((SUM(E323:E328)-E324)/(COUNT(E323:E328)-1))-1</f>
        <v/>
      </c>
      <c r="F333" s="34">
        <f>F324/((SUM(F323:F328)-F324)/(COUNT(F323:F328)-1))-1</f>
        <v/>
      </c>
      <c r="G333" s="34">
        <f>G324/((SUM(G323:G328)-G324)/(COUNT(G323:G328)-1))-1</f>
        <v/>
      </c>
      <c r="H333" s="30" t="n"/>
    </row>
    <row r="336">
      <c r="A336" s="22" t="inlineStr">
        <is>
          <t>São Bernardo do Campo - 09840-628</t>
        </is>
      </c>
      <c r="B336" s="23" t="n"/>
      <c r="C336" s="23" t="n"/>
      <c r="D336" s="23" t="n"/>
      <c r="E336" s="23" t="n"/>
      <c r="F336" s="23" t="n"/>
      <c r="G336" s="23" t="n"/>
      <c r="H336" s="23" t="n"/>
    </row>
    <row r="337">
      <c r="A337" s="24" t="inlineStr">
        <is>
          <t>Transportadora</t>
        </is>
      </c>
      <c r="B337" s="24" t="inlineStr">
        <is>
          <t>20 kg</t>
        </is>
      </c>
      <c r="C337" s="24" t="inlineStr">
        <is>
          <t>40 kg</t>
        </is>
      </c>
      <c r="D337" s="24" t="inlineStr">
        <is>
          <t>60 kg</t>
        </is>
      </c>
      <c r="E337" s="24" t="inlineStr">
        <is>
          <t>80 kg</t>
        </is>
      </c>
      <c r="F337" s="24" t="inlineStr">
        <is>
          <t>100 kg</t>
        </is>
      </c>
      <c r="G337" s="24" t="inlineStr">
        <is>
          <t>120 kg</t>
        </is>
      </c>
      <c r="H337" s="24" t="inlineStr">
        <is>
          <t>Prazo (dias)</t>
        </is>
      </c>
    </row>
    <row r="338">
      <c r="A338" s="14" t="inlineStr">
        <is>
          <t>TRANSIGA FILIAL SP</t>
        </is>
      </c>
      <c r="B338" s="25" t="n">
        <v>87.90000000000001</v>
      </c>
      <c r="C338" s="25" t="n">
        <v>109.6</v>
      </c>
      <c r="D338" s="25" t="n">
        <v>138.81</v>
      </c>
      <c r="E338" s="25" t="n">
        <v>170.43</v>
      </c>
      <c r="F338" s="25" t="n">
        <v>191.42</v>
      </c>
      <c r="G338" s="25" t="n">
        <v>240.4</v>
      </c>
      <c r="H338" s="4" t="n">
        <v>7</v>
      </c>
    </row>
    <row r="339">
      <c r="A339" s="26" t="inlineStr">
        <is>
          <t>RAJLOG</t>
        </is>
      </c>
      <c r="B339" s="27" t="n">
        <v>53.05</v>
      </c>
      <c r="C339" s="27" t="n">
        <v>81.65000000000001</v>
      </c>
      <c r="D339" s="27" t="n">
        <v>117.47</v>
      </c>
      <c r="E339" s="27" t="n">
        <v>158.41</v>
      </c>
      <c r="F339" s="27" t="n">
        <v>168.64</v>
      </c>
      <c r="G339" s="27" t="n">
        <v>221.03</v>
      </c>
      <c r="H339" s="8" t="n">
        <v>5</v>
      </c>
    </row>
    <row r="340">
      <c r="A340" s="14" t="inlineStr">
        <is>
          <t>Trans Sua Log - Standard</t>
        </is>
      </c>
      <c r="B340" s="25" t="n">
        <v>80.64</v>
      </c>
      <c r="C340" s="25" t="n">
        <v>97.81999999999999</v>
      </c>
      <c r="D340" s="25" t="n">
        <v>113.18</v>
      </c>
      <c r="E340" s="25" t="n">
        <v>133.72</v>
      </c>
      <c r="F340" s="25" t="n">
        <v>158.06</v>
      </c>
      <c r="G340" s="25" t="n">
        <v>185.63</v>
      </c>
      <c r="H340" s="4" t="n">
        <v>8</v>
      </c>
    </row>
    <row r="341">
      <c r="A341" s="14" t="inlineStr">
        <is>
          <t>Transvanio</t>
        </is>
      </c>
      <c r="B341" s="25" t="n">
        <v>87.8</v>
      </c>
      <c r="C341" s="25" t="n">
        <v>107.1</v>
      </c>
      <c r="D341" s="25" t="n">
        <v>126.53</v>
      </c>
      <c r="E341" s="25" t="n">
        <v>146.17</v>
      </c>
      <c r="F341" s="25" t="n">
        <v>165.69</v>
      </c>
      <c r="G341" s="25" t="n">
        <v>201.83</v>
      </c>
      <c r="H341" s="4" t="n">
        <v>4</v>
      </c>
    </row>
    <row r="342">
      <c r="A342" s="14" t="inlineStr">
        <is>
          <t>Zelog Standard</t>
        </is>
      </c>
      <c r="B342" s="25" t="n">
        <v>78.43000000000001</v>
      </c>
      <c r="C342" s="25" t="n">
        <v>95.93000000000001</v>
      </c>
      <c r="D342" s="25" t="n">
        <v>120.32</v>
      </c>
      <c r="E342" s="25" t="n">
        <v>144.7</v>
      </c>
      <c r="F342" s="25" t="n">
        <v>154.93</v>
      </c>
      <c r="G342" s="25" t="n">
        <v>176.81</v>
      </c>
      <c r="H342" s="4" t="n">
        <v>4</v>
      </c>
    </row>
    <row r="343">
      <c r="A343" s="14" t="inlineStr">
        <is>
          <t>Trilog Express</t>
        </is>
      </c>
      <c r="B343" s="25" t="n">
        <v>134.89</v>
      </c>
      <c r="C343" s="25" t="n">
        <v>151.08</v>
      </c>
      <c r="D343" s="25" t="n">
        <v>164.28</v>
      </c>
      <c r="E343" s="25" t="n">
        <v>186.45</v>
      </c>
      <c r="F343" s="25" t="n">
        <v>196.68</v>
      </c>
      <c r="G343" s="25" t="n">
        <v>233.27</v>
      </c>
      <c r="H343" s="4" t="n">
        <v>7</v>
      </c>
    </row>
    <row r="344">
      <c r="A344" s="28" t="inlineStr">
        <is>
          <t>Menor valor</t>
        </is>
      </c>
      <c r="B344" s="29">
        <f>MIN(B338:B343)</f>
        <v/>
      </c>
      <c r="C344" s="29">
        <f>MIN(C338:C343)</f>
        <v/>
      </c>
      <c r="D344" s="29">
        <f>MIN(D338:D343)</f>
        <v/>
      </c>
      <c r="E344" s="29">
        <f>MIN(E338:E343)</f>
        <v/>
      </c>
      <c r="F344" s="29">
        <f>MIN(F338:F343)</f>
        <v/>
      </c>
      <c r="G344" s="29">
        <f>MIN(G338:G343)</f>
        <v/>
      </c>
      <c r="H344" s="30" t="n"/>
    </row>
    <row r="345">
      <c r="A345" s="28" t="inlineStr">
        <is>
          <t>Transportadora mais barata</t>
        </is>
      </c>
      <c r="B345" s="31">
        <f>INDEX($A$338:$A$343,MATCH(MIN(B338:B343),B338:B343,0))</f>
        <v/>
      </c>
      <c r="C345" s="31">
        <f>INDEX($A$338:$A$343,MATCH(MIN(C338:C343),C338:C343,0))</f>
        <v/>
      </c>
      <c r="D345" s="31">
        <f>INDEX($A$338:$A$343,MATCH(MIN(D338:D343),D338:D343,0))</f>
        <v/>
      </c>
      <c r="E345" s="31">
        <f>INDEX($A$338:$A$343,MATCH(MIN(E338:E343),E338:E343,0))</f>
        <v/>
      </c>
      <c r="F345" s="31">
        <f>INDEX($A$338:$A$343,MATCH(MIN(F338:F343),F338:F343,0))</f>
        <v/>
      </c>
      <c r="G345" s="31">
        <f>INDEX($A$338:$A$343,MATCH(MIN(G338:G343),G338:G343,0))</f>
        <v/>
      </c>
      <c r="H345" s="32" t="n"/>
    </row>
    <row r="346">
      <c r="A346" s="28" t="inlineStr">
        <is>
          <t>Posição RAJLOG</t>
        </is>
      </c>
      <c r="B346" s="33">
        <f>(COUNTIF(B338:B343,"&lt;"&amp;B339)+1)&amp;"º de "&amp;COUNT(B338:B343)</f>
        <v/>
      </c>
      <c r="C346" s="33">
        <f>(COUNTIF(C338:C343,"&lt;"&amp;C339)+1)&amp;"º de "&amp;COUNT(C338:C343)</f>
        <v/>
      </c>
      <c r="D346" s="33">
        <f>(COUNTIF(D338:D343,"&lt;"&amp;D339)+1)&amp;"º de "&amp;COUNT(D338:D343)</f>
        <v/>
      </c>
      <c r="E346" s="33">
        <f>(COUNTIF(E338:E343,"&lt;"&amp;E339)+1)&amp;"º de "&amp;COUNT(E338:E343)</f>
        <v/>
      </c>
      <c r="F346" s="33">
        <f>(COUNTIF(F338:F343,"&lt;"&amp;F339)+1)&amp;"º de "&amp;COUNT(F338:F343)</f>
        <v/>
      </c>
      <c r="G346" s="33">
        <f>(COUNTIF(G338:G343,"&lt;"&amp;G339)+1)&amp;"º de "&amp;COUNT(G338:G343)</f>
        <v/>
      </c>
      <c r="H346" s="30" t="n"/>
    </row>
    <row r="347">
      <c r="A347" s="28" t="inlineStr">
        <is>
          <t>RAJLOG x concorrente mais barato</t>
        </is>
      </c>
      <c r="B347" s="34">
        <f>B339/MIN(B338:B338,B340:B343)-1</f>
        <v/>
      </c>
      <c r="C347" s="34">
        <f>C339/MIN(C338:C338,C340:C343)-1</f>
        <v/>
      </c>
      <c r="D347" s="34">
        <f>D339/MIN(D338:D338,D340:D343)-1</f>
        <v/>
      </c>
      <c r="E347" s="34">
        <f>E339/MIN(E338:E338,E340:E343)-1</f>
        <v/>
      </c>
      <c r="F347" s="34">
        <f>F339/MIN(F338:F338,F340:F343)-1</f>
        <v/>
      </c>
      <c r="G347" s="34">
        <f>G339/MIN(G338:G338,G340:G343)-1</f>
        <v/>
      </c>
      <c r="H347" s="30" t="n"/>
    </row>
    <row r="348">
      <c r="A348" s="28" t="inlineStr">
        <is>
          <t>RAJLOG x média das demais</t>
        </is>
      </c>
      <c r="B348" s="34">
        <f>B339/((SUM(B338:B343)-B339)/(COUNT(B338:B343)-1))-1</f>
        <v/>
      </c>
      <c r="C348" s="34">
        <f>C339/((SUM(C338:C343)-C339)/(COUNT(C338:C343)-1))-1</f>
        <v/>
      </c>
      <c r="D348" s="34">
        <f>D339/((SUM(D338:D343)-D339)/(COUNT(D338:D343)-1))-1</f>
        <v/>
      </c>
      <c r="E348" s="34">
        <f>E339/((SUM(E338:E343)-E339)/(COUNT(E338:E343)-1))-1</f>
        <v/>
      </c>
      <c r="F348" s="34">
        <f>F339/((SUM(F338:F343)-F339)/(COUNT(F338:F343)-1))-1</f>
        <v/>
      </c>
      <c r="G348" s="34">
        <f>G339/((SUM(G338:G343)-G339)/(COUNT(G338:G343)-1))-1</f>
        <v/>
      </c>
      <c r="H348" s="30" t="n"/>
    </row>
    <row r="351">
      <c r="A351" s="22" t="inlineStr">
        <is>
          <t>São Caetano do Sul - 09521-010</t>
        </is>
      </c>
      <c r="B351" s="23" t="n"/>
      <c r="C351" s="23" t="n"/>
      <c r="D351" s="23" t="n"/>
      <c r="E351" s="23" t="n"/>
      <c r="F351" s="23" t="n"/>
      <c r="G351" s="23" t="n"/>
      <c r="H351" s="23" t="n"/>
    </row>
    <row r="352">
      <c r="A352" s="24" t="inlineStr">
        <is>
          <t>Transportadora</t>
        </is>
      </c>
      <c r="B352" s="24" t="inlineStr">
        <is>
          <t>20 kg</t>
        </is>
      </c>
      <c r="C352" s="24" t="inlineStr">
        <is>
          <t>40 kg</t>
        </is>
      </c>
      <c r="D352" s="24" t="inlineStr">
        <is>
          <t>60 kg</t>
        </is>
      </c>
      <c r="E352" s="24" t="inlineStr">
        <is>
          <t>80 kg</t>
        </is>
      </c>
      <c r="F352" s="24" t="inlineStr">
        <is>
          <t>100 kg</t>
        </is>
      </c>
      <c r="G352" s="24" t="inlineStr">
        <is>
          <t>120 kg</t>
        </is>
      </c>
      <c r="H352" s="24" t="inlineStr">
        <is>
          <t>Prazo (dias)</t>
        </is>
      </c>
    </row>
    <row r="353">
      <c r="A353" s="14" t="inlineStr">
        <is>
          <t>TRANSIGA FILIAL SP</t>
        </is>
      </c>
      <c r="B353" s="25" t="n">
        <v>87.90000000000001</v>
      </c>
      <c r="C353" s="25" t="n">
        <v>109.6</v>
      </c>
      <c r="D353" s="25" t="n">
        <v>138.81</v>
      </c>
      <c r="E353" s="25" t="n">
        <v>170.43</v>
      </c>
      <c r="F353" s="25" t="n">
        <v>191.42</v>
      </c>
      <c r="G353" s="25" t="n">
        <v>240.4</v>
      </c>
      <c r="H353" s="4" t="n">
        <v>7</v>
      </c>
    </row>
    <row r="354">
      <c r="A354" s="26" t="inlineStr">
        <is>
          <t>RAJLOG</t>
        </is>
      </c>
      <c r="B354" s="27" t="n">
        <v>53.05</v>
      </c>
      <c r="C354" s="27" t="n">
        <v>81.65000000000001</v>
      </c>
      <c r="D354" s="27" t="n">
        <v>117.47</v>
      </c>
      <c r="E354" s="27" t="n">
        <v>158.41</v>
      </c>
      <c r="F354" s="27" t="n">
        <v>168.64</v>
      </c>
      <c r="G354" s="27" t="n">
        <v>221.03</v>
      </c>
      <c r="H354" s="8" t="n">
        <v>5</v>
      </c>
    </row>
    <row r="355">
      <c r="A355" s="14" t="inlineStr">
        <is>
          <t>Trans Sua Log - Standard</t>
        </is>
      </c>
      <c r="B355" s="25" t="n">
        <v>80.64</v>
      </c>
      <c r="C355" s="25" t="n">
        <v>97.81999999999999</v>
      </c>
      <c r="D355" s="25" t="n">
        <v>113.18</v>
      </c>
      <c r="E355" s="25" t="n">
        <v>133.72</v>
      </c>
      <c r="F355" s="25" t="n">
        <v>158.06</v>
      </c>
      <c r="G355" s="25" t="n">
        <v>185.63</v>
      </c>
      <c r="H355" s="4" t="n">
        <v>8</v>
      </c>
    </row>
    <row r="356">
      <c r="A356" s="14" t="inlineStr">
        <is>
          <t>Transvanio</t>
        </is>
      </c>
      <c r="B356" s="25" t="n">
        <v>87.8</v>
      </c>
      <c r="C356" s="25" t="n">
        <v>107.1</v>
      </c>
      <c r="D356" s="25" t="n">
        <v>126.53</v>
      </c>
      <c r="E356" s="25" t="n">
        <v>146.17</v>
      </c>
      <c r="F356" s="25" t="n">
        <v>165.69</v>
      </c>
      <c r="G356" s="25" t="n">
        <v>201.83</v>
      </c>
      <c r="H356" s="4" t="n">
        <v>4</v>
      </c>
    </row>
    <row r="357">
      <c r="A357" s="14" t="inlineStr">
        <is>
          <t>Zelog Standard</t>
        </is>
      </c>
      <c r="B357" s="25" t="n">
        <v>78.43000000000001</v>
      </c>
      <c r="C357" s="25" t="n">
        <v>95.93000000000001</v>
      </c>
      <c r="D357" s="25" t="n">
        <v>120.32</v>
      </c>
      <c r="E357" s="25" t="n">
        <v>144.7</v>
      </c>
      <c r="F357" s="25" t="n">
        <v>154.93</v>
      </c>
      <c r="G357" s="25" t="n">
        <v>176.81</v>
      </c>
      <c r="H357" s="4" t="n">
        <v>4</v>
      </c>
    </row>
    <row r="358">
      <c r="A358" s="14" t="inlineStr">
        <is>
          <t>Trilog Express</t>
        </is>
      </c>
      <c r="B358" s="25" t="n">
        <v>134.89</v>
      </c>
      <c r="C358" s="25" t="n">
        <v>151.08</v>
      </c>
      <c r="D358" s="25" t="n">
        <v>164.28</v>
      </c>
      <c r="E358" s="25" t="n">
        <v>186.45</v>
      </c>
      <c r="F358" s="25" t="n">
        <v>196.68</v>
      </c>
      <c r="G358" s="25" t="n">
        <v>233.27</v>
      </c>
      <c r="H358" s="4" t="n">
        <v>7</v>
      </c>
    </row>
    <row r="359">
      <c r="A359" s="28" t="inlineStr">
        <is>
          <t>Menor valor</t>
        </is>
      </c>
      <c r="B359" s="29">
        <f>MIN(B353:B358)</f>
        <v/>
      </c>
      <c r="C359" s="29">
        <f>MIN(C353:C358)</f>
        <v/>
      </c>
      <c r="D359" s="29">
        <f>MIN(D353:D358)</f>
        <v/>
      </c>
      <c r="E359" s="29">
        <f>MIN(E353:E358)</f>
        <v/>
      </c>
      <c r="F359" s="29">
        <f>MIN(F353:F358)</f>
        <v/>
      </c>
      <c r="G359" s="29">
        <f>MIN(G353:G358)</f>
        <v/>
      </c>
      <c r="H359" s="30" t="n"/>
    </row>
    <row r="360">
      <c r="A360" s="28" t="inlineStr">
        <is>
          <t>Transportadora mais barata</t>
        </is>
      </c>
      <c r="B360" s="31">
        <f>INDEX($A$353:$A$358,MATCH(MIN(B353:B358),B353:B358,0))</f>
        <v/>
      </c>
      <c r="C360" s="31">
        <f>INDEX($A$353:$A$358,MATCH(MIN(C353:C358),C353:C358,0))</f>
        <v/>
      </c>
      <c r="D360" s="31">
        <f>INDEX($A$353:$A$358,MATCH(MIN(D353:D358),D353:D358,0))</f>
        <v/>
      </c>
      <c r="E360" s="31">
        <f>INDEX($A$353:$A$358,MATCH(MIN(E353:E358),E353:E358,0))</f>
        <v/>
      </c>
      <c r="F360" s="31">
        <f>INDEX($A$353:$A$358,MATCH(MIN(F353:F358),F353:F358,0))</f>
        <v/>
      </c>
      <c r="G360" s="31">
        <f>INDEX($A$353:$A$358,MATCH(MIN(G353:G358),G353:G358,0))</f>
        <v/>
      </c>
      <c r="H360" s="32" t="n"/>
    </row>
    <row r="361">
      <c r="A361" s="28" t="inlineStr">
        <is>
          <t>Posição RAJLOG</t>
        </is>
      </c>
      <c r="B361" s="33">
        <f>(COUNTIF(B353:B358,"&lt;"&amp;B354)+1)&amp;"º de "&amp;COUNT(B353:B358)</f>
        <v/>
      </c>
      <c r="C361" s="33">
        <f>(COUNTIF(C353:C358,"&lt;"&amp;C354)+1)&amp;"º de "&amp;COUNT(C353:C358)</f>
        <v/>
      </c>
      <c r="D361" s="33">
        <f>(COUNTIF(D353:D358,"&lt;"&amp;D354)+1)&amp;"º de "&amp;COUNT(D353:D358)</f>
        <v/>
      </c>
      <c r="E361" s="33">
        <f>(COUNTIF(E353:E358,"&lt;"&amp;E354)+1)&amp;"º de "&amp;COUNT(E353:E358)</f>
        <v/>
      </c>
      <c r="F361" s="33">
        <f>(COUNTIF(F353:F358,"&lt;"&amp;F354)+1)&amp;"º de "&amp;COUNT(F353:F358)</f>
        <v/>
      </c>
      <c r="G361" s="33">
        <f>(COUNTIF(G353:G358,"&lt;"&amp;G354)+1)&amp;"º de "&amp;COUNT(G353:G358)</f>
        <v/>
      </c>
      <c r="H361" s="30" t="n"/>
    </row>
    <row r="362">
      <c r="A362" s="28" t="inlineStr">
        <is>
          <t>RAJLOG x concorrente mais barato</t>
        </is>
      </c>
      <c r="B362" s="34">
        <f>B354/MIN(B353:B353,B355:B358)-1</f>
        <v/>
      </c>
      <c r="C362" s="34">
        <f>C354/MIN(C353:C353,C355:C358)-1</f>
        <v/>
      </c>
      <c r="D362" s="34">
        <f>D354/MIN(D353:D353,D355:D358)-1</f>
        <v/>
      </c>
      <c r="E362" s="34">
        <f>E354/MIN(E353:E353,E355:E358)-1</f>
        <v/>
      </c>
      <c r="F362" s="34">
        <f>F354/MIN(F353:F353,F355:F358)-1</f>
        <v/>
      </c>
      <c r="G362" s="34">
        <f>G354/MIN(G353:G353,G355:G358)-1</f>
        <v/>
      </c>
      <c r="H362" s="30" t="n"/>
    </row>
    <row r="363">
      <c r="A363" s="28" t="inlineStr">
        <is>
          <t>RAJLOG x média das demais</t>
        </is>
      </c>
      <c r="B363" s="34">
        <f>B354/((SUM(B353:B358)-B354)/(COUNT(B353:B358)-1))-1</f>
        <v/>
      </c>
      <c r="C363" s="34">
        <f>C354/((SUM(C353:C358)-C354)/(COUNT(C353:C358)-1))-1</f>
        <v/>
      </c>
      <c r="D363" s="34">
        <f>D354/((SUM(D353:D358)-D354)/(COUNT(D353:D358)-1))-1</f>
        <v/>
      </c>
      <c r="E363" s="34">
        <f>E354/((SUM(E353:E358)-E354)/(COUNT(E353:E358)-1))-1</f>
        <v/>
      </c>
      <c r="F363" s="34">
        <f>F354/((SUM(F353:F358)-F354)/(COUNT(F353:F358)-1))-1</f>
        <v/>
      </c>
      <c r="G363" s="34">
        <f>G354/((SUM(G353:G358)-G354)/(COUNT(G353:G358)-1))-1</f>
        <v/>
      </c>
      <c r="H363" s="30" t="n"/>
    </row>
    <row r="366">
      <c r="A366" s="22" t="inlineStr">
        <is>
          <t>Taboão da Serra - 06765-904</t>
        </is>
      </c>
      <c r="B366" s="23" t="n"/>
      <c r="C366" s="23" t="n"/>
      <c r="D366" s="23" t="n"/>
      <c r="E366" s="23" t="n"/>
      <c r="F366" s="23" t="n"/>
      <c r="G366" s="23" t="n"/>
      <c r="H366" s="23" t="n"/>
    </row>
    <row r="367">
      <c r="A367" s="24" t="inlineStr">
        <is>
          <t>Transportadora</t>
        </is>
      </c>
      <c r="B367" s="24" t="inlineStr">
        <is>
          <t>20 kg</t>
        </is>
      </c>
      <c r="C367" s="24" t="inlineStr">
        <is>
          <t>40 kg</t>
        </is>
      </c>
      <c r="D367" s="24" t="inlineStr">
        <is>
          <t>60 kg</t>
        </is>
      </c>
      <c r="E367" s="24" t="inlineStr">
        <is>
          <t>80 kg</t>
        </is>
      </c>
      <c r="F367" s="24" t="inlineStr">
        <is>
          <t>100 kg</t>
        </is>
      </c>
      <c r="G367" s="24" t="inlineStr">
        <is>
          <t>120 kg</t>
        </is>
      </c>
      <c r="H367" s="24" t="inlineStr">
        <is>
          <t>Prazo (dias)</t>
        </is>
      </c>
    </row>
    <row r="368">
      <c r="A368" s="14" t="inlineStr">
        <is>
          <t>TRANSIGA FILIAL SP</t>
        </is>
      </c>
      <c r="B368" s="25" t="n">
        <v>87.90000000000001</v>
      </c>
      <c r="C368" s="25" t="n">
        <v>109.6</v>
      </c>
      <c r="D368" s="25" t="n">
        <v>138.81</v>
      </c>
      <c r="E368" s="25" t="n">
        <v>170.43</v>
      </c>
      <c r="F368" s="25" t="n">
        <v>191.42</v>
      </c>
      <c r="G368" s="25" t="n">
        <v>240.4</v>
      </c>
      <c r="H368" s="4" t="n">
        <v>7</v>
      </c>
    </row>
    <row r="369">
      <c r="A369" s="26" t="inlineStr">
        <is>
          <t>RAJLOG</t>
        </is>
      </c>
      <c r="B369" s="27" t="n">
        <v>53.05</v>
      </c>
      <c r="C369" s="27" t="n">
        <v>81.65000000000001</v>
      </c>
      <c r="D369" s="27" t="n">
        <v>117.47</v>
      </c>
      <c r="E369" s="27" t="n">
        <v>158.41</v>
      </c>
      <c r="F369" s="27" t="n">
        <v>168.64</v>
      </c>
      <c r="G369" s="27" t="n">
        <v>221.03</v>
      </c>
      <c r="H369" s="8" t="n">
        <v>5</v>
      </c>
    </row>
    <row r="370">
      <c r="A370" s="14" t="inlineStr">
        <is>
          <t>Trans Sua Log - Standard</t>
        </is>
      </c>
      <c r="B370" s="25" t="n">
        <v>80.64</v>
      </c>
      <c r="C370" s="25" t="n">
        <v>97.81999999999999</v>
      </c>
      <c r="D370" s="25" t="n">
        <v>113.18</v>
      </c>
      <c r="E370" s="25" t="n">
        <v>133.72</v>
      </c>
      <c r="F370" s="25" t="n">
        <v>158.06</v>
      </c>
      <c r="G370" s="25" t="n">
        <v>185.63</v>
      </c>
      <c r="H370" s="4" t="n">
        <v>8</v>
      </c>
    </row>
    <row r="371">
      <c r="A371" s="14" t="inlineStr">
        <is>
          <t>Transvanio</t>
        </is>
      </c>
      <c r="B371" s="25" t="n">
        <v>90.06999999999999</v>
      </c>
      <c r="C371" s="25" t="n">
        <v>107.1</v>
      </c>
      <c r="D371" s="25" t="n">
        <v>126.53</v>
      </c>
      <c r="E371" s="25" t="n">
        <v>146.17</v>
      </c>
      <c r="F371" s="25" t="n">
        <v>165.69</v>
      </c>
      <c r="G371" s="25" t="n">
        <v>201.83</v>
      </c>
      <c r="H371" s="4" t="n">
        <v>6</v>
      </c>
    </row>
    <row r="372">
      <c r="A372" s="14" t="inlineStr">
        <is>
          <t>VM TRANSPORTES</t>
        </is>
      </c>
      <c r="B372" s="25" t="n">
        <v>77.33</v>
      </c>
      <c r="C372" s="25" t="n">
        <v>97.7</v>
      </c>
      <c r="D372" s="25" t="n">
        <v>142.07</v>
      </c>
      <c r="E372" s="25" t="n">
        <v>156.45</v>
      </c>
      <c r="F372" s="25" t="n">
        <v>170.84</v>
      </c>
      <c r="G372" s="25" t="n">
        <v>206.81</v>
      </c>
      <c r="H372" s="4" t="n">
        <v>8</v>
      </c>
    </row>
    <row r="373">
      <c r="A373" s="14" t="inlineStr">
        <is>
          <t>Trilog Express</t>
        </is>
      </c>
      <c r="B373" s="25" t="n">
        <v>151.93</v>
      </c>
      <c r="C373" s="25" t="n">
        <v>168.13</v>
      </c>
      <c r="D373" s="25" t="n">
        <v>181.33</v>
      </c>
      <c r="E373" s="25" t="n">
        <v>203.5</v>
      </c>
      <c r="F373" s="25" t="n">
        <v>213.73</v>
      </c>
      <c r="G373" s="25" t="n">
        <v>250.32</v>
      </c>
      <c r="H373" s="4" t="n">
        <v>7</v>
      </c>
    </row>
    <row r="374">
      <c r="A374" s="28" t="inlineStr">
        <is>
          <t>Menor valor</t>
        </is>
      </c>
      <c r="B374" s="29">
        <f>MIN(B368:B373)</f>
        <v/>
      </c>
      <c r="C374" s="29">
        <f>MIN(C368:C373)</f>
        <v/>
      </c>
      <c r="D374" s="29">
        <f>MIN(D368:D373)</f>
        <v/>
      </c>
      <c r="E374" s="29">
        <f>MIN(E368:E373)</f>
        <v/>
      </c>
      <c r="F374" s="29">
        <f>MIN(F368:F373)</f>
        <v/>
      </c>
      <c r="G374" s="29">
        <f>MIN(G368:G373)</f>
        <v/>
      </c>
      <c r="H374" s="30" t="n"/>
    </row>
    <row r="375">
      <c r="A375" s="28" t="inlineStr">
        <is>
          <t>Transportadora mais barata</t>
        </is>
      </c>
      <c r="B375" s="31">
        <f>INDEX($A$368:$A$373,MATCH(MIN(B368:B373),B368:B373,0))</f>
        <v/>
      </c>
      <c r="C375" s="31">
        <f>INDEX($A$368:$A$373,MATCH(MIN(C368:C373),C368:C373,0))</f>
        <v/>
      </c>
      <c r="D375" s="31">
        <f>INDEX($A$368:$A$373,MATCH(MIN(D368:D373),D368:D373,0))</f>
        <v/>
      </c>
      <c r="E375" s="31">
        <f>INDEX($A$368:$A$373,MATCH(MIN(E368:E373),E368:E373,0))</f>
        <v/>
      </c>
      <c r="F375" s="31">
        <f>INDEX($A$368:$A$373,MATCH(MIN(F368:F373),F368:F373,0))</f>
        <v/>
      </c>
      <c r="G375" s="31">
        <f>INDEX($A$368:$A$373,MATCH(MIN(G368:G373),G368:G373,0))</f>
        <v/>
      </c>
      <c r="H375" s="32" t="n"/>
    </row>
    <row r="376">
      <c r="A376" s="28" t="inlineStr">
        <is>
          <t>Posição RAJLOG</t>
        </is>
      </c>
      <c r="B376" s="33">
        <f>(COUNTIF(B368:B373,"&lt;"&amp;B369)+1)&amp;"º de "&amp;COUNT(B368:B373)</f>
        <v/>
      </c>
      <c r="C376" s="33">
        <f>(COUNTIF(C368:C373,"&lt;"&amp;C369)+1)&amp;"º de "&amp;COUNT(C368:C373)</f>
        <v/>
      </c>
      <c r="D376" s="33">
        <f>(COUNTIF(D368:D373,"&lt;"&amp;D369)+1)&amp;"º de "&amp;COUNT(D368:D373)</f>
        <v/>
      </c>
      <c r="E376" s="33">
        <f>(COUNTIF(E368:E373,"&lt;"&amp;E369)+1)&amp;"º de "&amp;COUNT(E368:E373)</f>
        <v/>
      </c>
      <c r="F376" s="33">
        <f>(COUNTIF(F368:F373,"&lt;"&amp;F369)+1)&amp;"º de "&amp;COUNT(F368:F373)</f>
        <v/>
      </c>
      <c r="G376" s="33">
        <f>(COUNTIF(G368:G373,"&lt;"&amp;G369)+1)&amp;"º de "&amp;COUNT(G368:G373)</f>
        <v/>
      </c>
      <c r="H376" s="30" t="n"/>
    </row>
    <row r="377">
      <c r="A377" s="28" t="inlineStr">
        <is>
          <t>RAJLOG x concorrente mais barato</t>
        </is>
      </c>
      <c r="B377" s="34">
        <f>B369/MIN(B368:B368,B370:B373)-1</f>
        <v/>
      </c>
      <c r="C377" s="34">
        <f>C369/MIN(C368:C368,C370:C373)-1</f>
        <v/>
      </c>
      <c r="D377" s="34">
        <f>D369/MIN(D368:D368,D370:D373)-1</f>
        <v/>
      </c>
      <c r="E377" s="34">
        <f>E369/MIN(E368:E368,E370:E373)-1</f>
        <v/>
      </c>
      <c r="F377" s="34">
        <f>F369/MIN(F368:F368,F370:F373)-1</f>
        <v/>
      </c>
      <c r="G377" s="34">
        <f>G369/MIN(G368:G368,G370:G373)-1</f>
        <v/>
      </c>
      <c r="H377" s="30" t="n"/>
    </row>
    <row r="378">
      <c r="A378" s="28" t="inlineStr">
        <is>
          <t>RAJLOG x média das demais</t>
        </is>
      </c>
      <c r="B378" s="34">
        <f>B369/((SUM(B368:B373)-B369)/(COUNT(B368:B373)-1))-1</f>
        <v/>
      </c>
      <c r="C378" s="34">
        <f>C369/((SUM(C368:C373)-C369)/(COUNT(C368:C373)-1))-1</f>
        <v/>
      </c>
      <c r="D378" s="34">
        <f>D369/((SUM(D368:D373)-D369)/(COUNT(D368:D373)-1))-1</f>
        <v/>
      </c>
      <c r="E378" s="34">
        <f>E369/((SUM(E368:E373)-E369)/(COUNT(E368:E373)-1))-1</f>
        <v/>
      </c>
      <c r="F378" s="34">
        <f>F369/((SUM(F368:F373)-F369)/(COUNT(F368:F373)-1))-1</f>
        <v/>
      </c>
      <c r="G378" s="34">
        <f>G369/((SUM(G368:G373)-G369)/(COUNT(G368:G373)-1))-1</f>
        <v/>
      </c>
      <c r="H378" s="30" t="n"/>
    </row>
    <row r="381">
      <c r="A381" s="22" t="inlineStr">
        <is>
          <t>São Paulo - 02820-030</t>
        </is>
      </c>
      <c r="B381" s="23" t="n"/>
      <c r="C381" s="23" t="n"/>
      <c r="D381" s="23" t="n"/>
      <c r="E381" s="23" t="n"/>
      <c r="F381" s="23" t="n"/>
      <c r="G381" s="23" t="n"/>
      <c r="H381" s="23" t="n"/>
    </row>
    <row r="382">
      <c r="A382" s="24" t="inlineStr">
        <is>
          <t>Transportadora</t>
        </is>
      </c>
      <c r="B382" s="24" t="inlineStr">
        <is>
          <t>20 kg</t>
        </is>
      </c>
      <c r="C382" s="24" t="inlineStr">
        <is>
          <t>40 kg</t>
        </is>
      </c>
      <c r="D382" s="24" t="inlineStr">
        <is>
          <t>60 kg</t>
        </is>
      </c>
      <c r="E382" s="24" t="inlineStr">
        <is>
          <t>80 kg</t>
        </is>
      </c>
      <c r="F382" s="24" t="inlineStr">
        <is>
          <t>100 kg</t>
        </is>
      </c>
      <c r="G382" s="24" t="inlineStr">
        <is>
          <t>120 kg</t>
        </is>
      </c>
      <c r="H382" s="24" t="inlineStr">
        <is>
          <t>Prazo (dias)</t>
        </is>
      </c>
    </row>
    <row r="383">
      <c r="A383" s="14" t="inlineStr">
        <is>
          <t>TRANSIGA FILIAL SP</t>
        </is>
      </c>
      <c r="B383" s="25" t="n">
        <v>121.99</v>
      </c>
      <c r="C383" s="25" t="n">
        <v>143.69</v>
      </c>
      <c r="D383" s="25" t="n">
        <v>172.9</v>
      </c>
      <c r="E383" s="25" t="n">
        <v>204.52</v>
      </c>
      <c r="F383" s="25" t="n">
        <v>225.51</v>
      </c>
      <c r="G383" s="25" t="n">
        <v>274.49</v>
      </c>
      <c r="H383" s="4" t="n">
        <v>10</v>
      </c>
    </row>
    <row r="384">
      <c r="A384" s="26" t="inlineStr">
        <is>
          <t>RAJLOG</t>
        </is>
      </c>
      <c r="B384" s="27" t="n">
        <v>53.05</v>
      </c>
      <c r="C384" s="27" t="n">
        <v>81.65000000000001</v>
      </c>
      <c r="D384" s="27" t="n">
        <v>117.47</v>
      </c>
      <c r="E384" s="27" t="n">
        <v>158.41</v>
      </c>
      <c r="F384" s="27" t="n">
        <v>168.64</v>
      </c>
      <c r="G384" s="27" t="n">
        <v>221.03</v>
      </c>
      <c r="H384" s="8" t="n">
        <v>5</v>
      </c>
    </row>
    <row r="385">
      <c r="A385" s="14" t="inlineStr">
        <is>
          <t>Trans Sua Log - Standard</t>
        </is>
      </c>
      <c r="B385" s="25" t="n">
        <v>69.11</v>
      </c>
      <c r="C385" s="25" t="n">
        <v>85.66</v>
      </c>
      <c r="D385" s="25" t="n">
        <v>100.58</v>
      </c>
      <c r="E385" s="25" t="n">
        <v>120.17</v>
      </c>
      <c r="F385" s="25" t="n">
        <v>143.22</v>
      </c>
      <c r="G385" s="25" t="n">
        <v>163.68</v>
      </c>
      <c r="H385" s="4" t="n">
        <v>8</v>
      </c>
    </row>
    <row r="386">
      <c r="A386" s="14" t="inlineStr">
        <is>
          <t>Transvanio</t>
        </is>
      </c>
      <c r="B386" s="25" t="n">
        <v>121.6</v>
      </c>
      <c r="C386" s="25" t="n">
        <v>138.64</v>
      </c>
      <c r="D386" s="25" t="n">
        <v>158.07</v>
      </c>
      <c r="E386" s="25" t="n">
        <v>177.7</v>
      </c>
      <c r="F386" s="25" t="n">
        <v>197.23</v>
      </c>
      <c r="G386" s="25" t="n">
        <v>230.81</v>
      </c>
      <c r="H386" s="4" t="n">
        <v>5</v>
      </c>
    </row>
    <row r="387">
      <c r="A387" s="14" t="inlineStr">
        <is>
          <t>VM TRANSPORTES</t>
        </is>
      </c>
      <c r="B387" s="25" t="n">
        <v>77.33</v>
      </c>
      <c r="C387" s="25" t="n">
        <v>97.7</v>
      </c>
      <c r="D387" s="25" t="n">
        <v>142.07</v>
      </c>
      <c r="E387" s="25" t="n">
        <v>156.45</v>
      </c>
      <c r="F387" s="25" t="n">
        <v>170.84</v>
      </c>
      <c r="G387" s="25" t="n">
        <v>206.81</v>
      </c>
      <c r="H387" s="4" t="n">
        <v>6</v>
      </c>
    </row>
    <row r="388">
      <c r="A388" s="14" t="inlineStr">
        <is>
          <t>Trilog Express</t>
        </is>
      </c>
      <c r="B388" s="25" t="n">
        <v>151.93</v>
      </c>
      <c r="C388" s="25" t="n">
        <v>168.13</v>
      </c>
      <c r="D388" s="25" t="n">
        <v>181.33</v>
      </c>
      <c r="E388" s="25" t="n">
        <v>203.5</v>
      </c>
      <c r="F388" s="25" t="n">
        <v>213.73</v>
      </c>
      <c r="G388" s="25" t="n">
        <v>250.32</v>
      </c>
      <c r="H388" s="4" t="n">
        <v>6</v>
      </c>
    </row>
    <row r="389">
      <c r="A389" s="28" t="inlineStr">
        <is>
          <t>Menor valor</t>
        </is>
      </c>
      <c r="B389" s="29">
        <f>MIN(B383:B388)</f>
        <v/>
      </c>
      <c r="C389" s="29">
        <f>MIN(C383:C388)</f>
        <v/>
      </c>
      <c r="D389" s="29">
        <f>MIN(D383:D388)</f>
        <v/>
      </c>
      <c r="E389" s="29">
        <f>MIN(E383:E388)</f>
        <v/>
      </c>
      <c r="F389" s="29">
        <f>MIN(F383:F388)</f>
        <v/>
      </c>
      <c r="G389" s="29">
        <f>MIN(G383:G388)</f>
        <v/>
      </c>
      <c r="H389" s="30" t="n"/>
    </row>
    <row r="390">
      <c r="A390" s="28" t="inlineStr">
        <is>
          <t>Transportadora mais barata</t>
        </is>
      </c>
      <c r="B390" s="31">
        <f>INDEX($A$383:$A$388,MATCH(MIN(B383:B388),B383:B388,0))</f>
        <v/>
      </c>
      <c r="C390" s="31">
        <f>INDEX($A$383:$A$388,MATCH(MIN(C383:C388),C383:C388,0))</f>
        <v/>
      </c>
      <c r="D390" s="31">
        <f>INDEX($A$383:$A$388,MATCH(MIN(D383:D388),D383:D388,0))</f>
        <v/>
      </c>
      <c r="E390" s="31">
        <f>INDEX($A$383:$A$388,MATCH(MIN(E383:E388),E383:E388,0))</f>
        <v/>
      </c>
      <c r="F390" s="31">
        <f>INDEX($A$383:$A$388,MATCH(MIN(F383:F388),F383:F388,0))</f>
        <v/>
      </c>
      <c r="G390" s="31">
        <f>INDEX($A$383:$A$388,MATCH(MIN(G383:G388),G383:G388,0))</f>
        <v/>
      </c>
      <c r="H390" s="32" t="n"/>
    </row>
    <row r="391">
      <c r="A391" s="28" t="inlineStr">
        <is>
          <t>Posição RAJLOG</t>
        </is>
      </c>
      <c r="B391" s="33">
        <f>(COUNTIF(B383:B388,"&lt;"&amp;B384)+1)&amp;"º de "&amp;COUNT(B383:B388)</f>
        <v/>
      </c>
      <c r="C391" s="33">
        <f>(COUNTIF(C383:C388,"&lt;"&amp;C384)+1)&amp;"º de "&amp;COUNT(C383:C388)</f>
        <v/>
      </c>
      <c r="D391" s="33">
        <f>(COUNTIF(D383:D388,"&lt;"&amp;D384)+1)&amp;"º de "&amp;COUNT(D383:D388)</f>
        <v/>
      </c>
      <c r="E391" s="33">
        <f>(COUNTIF(E383:E388,"&lt;"&amp;E384)+1)&amp;"º de "&amp;COUNT(E383:E388)</f>
        <v/>
      </c>
      <c r="F391" s="33">
        <f>(COUNTIF(F383:F388,"&lt;"&amp;F384)+1)&amp;"º de "&amp;COUNT(F383:F388)</f>
        <v/>
      </c>
      <c r="G391" s="33">
        <f>(COUNTIF(G383:G388,"&lt;"&amp;G384)+1)&amp;"º de "&amp;COUNT(G383:G388)</f>
        <v/>
      </c>
      <c r="H391" s="30" t="n"/>
    </row>
    <row r="392">
      <c r="A392" s="28" t="inlineStr">
        <is>
          <t>RAJLOG x concorrente mais barato</t>
        </is>
      </c>
      <c r="B392" s="34">
        <f>B384/MIN(B383:B383,B385:B388)-1</f>
        <v/>
      </c>
      <c r="C392" s="34">
        <f>C384/MIN(C383:C383,C385:C388)-1</f>
        <v/>
      </c>
      <c r="D392" s="34">
        <f>D384/MIN(D383:D383,D385:D388)-1</f>
        <v/>
      </c>
      <c r="E392" s="34">
        <f>E384/MIN(E383:E383,E385:E388)-1</f>
        <v/>
      </c>
      <c r="F392" s="34">
        <f>F384/MIN(F383:F383,F385:F388)-1</f>
        <v/>
      </c>
      <c r="G392" s="34">
        <f>G384/MIN(G383:G383,G385:G388)-1</f>
        <v/>
      </c>
      <c r="H392" s="30" t="n"/>
    </row>
    <row r="393">
      <c r="A393" s="28" t="inlineStr">
        <is>
          <t>RAJLOG x média das demais</t>
        </is>
      </c>
      <c r="B393" s="34">
        <f>B384/((SUM(B383:B388)-B384)/(COUNT(B383:B388)-1))-1</f>
        <v/>
      </c>
      <c r="C393" s="34">
        <f>C384/((SUM(C383:C388)-C384)/(COUNT(C383:C388)-1))-1</f>
        <v/>
      </c>
      <c r="D393" s="34">
        <f>D384/((SUM(D383:D388)-D384)/(COUNT(D383:D388)-1))-1</f>
        <v/>
      </c>
      <c r="E393" s="34">
        <f>E384/((SUM(E383:E388)-E384)/(COUNT(E383:E388)-1))-1</f>
        <v/>
      </c>
      <c r="F393" s="34">
        <f>F384/((SUM(F383:F388)-F384)/(COUNT(F383:F388)-1))-1</f>
        <v/>
      </c>
      <c r="G393" s="34">
        <f>G384/((SUM(G383:G388)-G384)/(COUNT(G383:G388)-1))-1</f>
        <v/>
      </c>
      <c r="H393" s="30" t="n"/>
    </row>
  </sheetData>
  <conditionalFormatting sqref="B6:G10">
    <cfRule type="expression" priority="1" dxfId="3">
      <formula>B6=MIN(B$6:B$10)</formula>
    </cfRule>
  </conditionalFormatting>
  <conditionalFormatting sqref="B14:G14">
    <cfRule type="expression" priority="2" dxfId="0">
      <formula>B14&lt;=0</formula>
    </cfRule>
    <cfRule type="expression" priority="3" dxfId="1">
      <formula>B14&gt;0</formula>
    </cfRule>
  </conditionalFormatting>
  <conditionalFormatting sqref="B15:G15">
    <cfRule type="expression" priority="4" dxfId="0">
      <formula>B15&lt;=0</formula>
    </cfRule>
    <cfRule type="expression" priority="5" dxfId="1">
      <formula>B15&gt;0</formula>
    </cfRule>
  </conditionalFormatting>
  <conditionalFormatting sqref="B20:G24">
    <cfRule type="expression" priority="6" dxfId="3">
      <formula>B20=MIN(B$20:B$24)</formula>
    </cfRule>
  </conditionalFormatting>
  <conditionalFormatting sqref="B28:G28">
    <cfRule type="expression" priority="7" dxfId="0">
      <formula>B28&lt;=0</formula>
    </cfRule>
    <cfRule type="expression" priority="8" dxfId="1">
      <formula>B28&gt;0</formula>
    </cfRule>
  </conditionalFormatting>
  <conditionalFormatting sqref="B29:G29">
    <cfRule type="expression" priority="9" dxfId="0">
      <formula>B29&lt;=0</formula>
    </cfRule>
    <cfRule type="expression" priority="10" dxfId="1">
      <formula>B29&gt;0</formula>
    </cfRule>
  </conditionalFormatting>
  <conditionalFormatting sqref="B34:G38">
    <cfRule type="expression" priority="11" dxfId="3">
      <formula>B34=MIN(B$34:B$38)</formula>
    </cfRule>
  </conditionalFormatting>
  <conditionalFormatting sqref="B42:G42">
    <cfRule type="expression" priority="12" dxfId="0">
      <formula>B42&lt;=0</formula>
    </cfRule>
    <cfRule type="expression" priority="13" dxfId="1">
      <formula>B42&gt;0</formula>
    </cfRule>
  </conditionalFormatting>
  <conditionalFormatting sqref="B43:G43">
    <cfRule type="expression" priority="14" dxfId="0">
      <formula>B43&lt;=0</formula>
    </cfRule>
    <cfRule type="expression" priority="15" dxfId="1">
      <formula>B43&gt;0</formula>
    </cfRule>
  </conditionalFormatting>
  <conditionalFormatting sqref="B48:G54">
    <cfRule type="expression" priority="16" dxfId="3">
      <formula>B48=MIN(B$48:B$54)</formula>
    </cfRule>
  </conditionalFormatting>
  <conditionalFormatting sqref="B58:G58">
    <cfRule type="expression" priority="17" dxfId="0">
      <formula>B58&lt;=0</formula>
    </cfRule>
    <cfRule type="expression" priority="18" dxfId="1">
      <formula>B58&gt;0</formula>
    </cfRule>
  </conditionalFormatting>
  <conditionalFormatting sqref="B59:G59">
    <cfRule type="expression" priority="19" dxfId="0">
      <formula>B59&lt;=0</formula>
    </cfRule>
    <cfRule type="expression" priority="20" dxfId="1">
      <formula>B59&gt;0</formula>
    </cfRule>
  </conditionalFormatting>
  <conditionalFormatting sqref="B64:G69">
    <cfRule type="expression" priority="21" dxfId="3">
      <formula>B64=MIN(B$64:B$69)</formula>
    </cfRule>
  </conditionalFormatting>
  <conditionalFormatting sqref="B73:G73">
    <cfRule type="expression" priority="22" dxfId="0">
      <formula>B73&lt;=0</formula>
    </cfRule>
    <cfRule type="expression" priority="23" dxfId="1">
      <formula>B73&gt;0</formula>
    </cfRule>
  </conditionalFormatting>
  <conditionalFormatting sqref="B74:G74">
    <cfRule type="expression" priority="24" dxfId="0">
      <formula>B74&lt;=0</formula>
    </cfRule>
    <cfRule type="expression" priority="25" dxfId="1">
      <formula>B74&gt;0</formula>
    </cfRule>
  </conditionalFormatting>
  <conditionalFormatting sqref="B79:G84">
    <cfRule type="expression" priority="26" dxfId="3">
      <formula>B79=MIN(B$79:B$84)</formula>
    </cfRule>
  </conditionalFormatting>
  <conditionalFormatting sqref="B88:G88">
    <cfRule type="expression" priority="27" dxfId="0">
      <formula>B88&lt;=0</formula>
    </cfRule>
    <cfRule type="expression" priority="28" dxfId="1">
      <formula>B88&gt;0</formula>
    </cfRule>
  </conditionalFormatting>
  <conditionalFormatting sqref="B89:G89">
    <cfRule type="expression" priority="29" dxfId="0">
      <formula>B89&lt;=0</formula>
    </cfRule>
    <cfRule type="expression" priority="30" dxfId="1">
      <formula>B89&gt;0</formula>
    </cfRule>
  </conditionalFormatting>
  <conditionalFormatting sqref="B94:G100">
    <cfRule type="expression" priority="31" dxfId="3">
      <formula>B94=MIN(B$94:B$100)</formula>
    </cfRule>
  </conditionalFormatting>
  <conditionalFormatting sqref="B104:G104">
    <cfRule type="expression" priority="32" dxfId="0">
      <formula>B104&lt;=0</formula>
    </cfRule>
    <cfRule type="expression" priority="33" dxfId="1">
      <formula>B104&gt;0</formula>
    </cfRule>
  </conditionalFormatting>
  <conditionalFormatting sqref="B105:G105">
    <cfRule type="expression" priority="34" dxfId="0">
      <formula>B105&lt;=0</formula>
    </cfRule>
    <cfRule type="expression" priority="35" dxfId="1">
      <formula>B105&gt;0</formula>
    </cfRule>
  </conditionalFormatting>
  <conditionalFormatting sqref="B110:G114">
    <cfRule type="expression" priority="36" dxfId="3">
      <formula>B110=MIN(B$110:B$114)</formula>
    </cfRule>
  </conditionalFormatting>
  <conditionalFormatting sqref="B118:G118">
    <cfRule type="expression" priority="37" dxfId="0">
      <formula>B118&lt;=0</formula>
    </cfRule>
    <cfRule type="expression" priority="38" dxfId="1">
      <formula>B118&gt;0</formula>
    </cfRule>
  </conditionalFormatting>
  <conditionalFormatting sqref="B119:G119">
    <cfRule type="expression" priority="39" dxfId="0">
      <formula>B119&lt;=0</formula>
    </cfRule>
    <cfRule type="expression" priority="40" dxfId="1">
      <formula>B119&gt;0</formula>
    </cfRule>
  </conditionalFormatting>
  <conditionalFormatting sqref="B124:G128">
    <cfRule type="expression" priority="41" dxfId="3">
      <formula>B124=MIN(B$124:B$128)</formula>
    </cfRule>
  </conditionalFormatting>
  <conditionalFormatting sqref="B132:G132">
    <cfRule type="expression" priority="42" dxfId="0">
      <formula>B132&lt;=0</formula>
    </cfRule>
    <cfRule type="expression" priority="43" dxfId="1">
      <formula>B132&gt;0</formula>
    </cfRule>
  </conditionalFormatting>
  <conditionalFormatting sqref="B133:G133">
    <cfRule type="expression" priority="44" dxfId="0">
      <formula>B133&lt;=0</formula>
    </cfRule>
    <cfRule type="expression" priority="45" dxfId="1">
      <formula>B133&gt;0</formula>
    </cfRule>
  </conditionalFormatting>
  <conditionalFormatting sqref="B138:G144">
    <cfRule type="expression" priority="46" dxfId="3">
      <formula>B138=MIN(B$138:B$144)</formula>
    </cfRule>
  </conditionalFormatting>
  <conditionalFormatting sqref="B148:G148">
    <cfRule type="expression" priority="47" dxfId="0">
      <formula>B148&lt;=0</formula>
    </cfRule>
    <cfRule type="expression" priority="48" dxfId="1">
      <formula>B148&gt;0</formula>
    </cfRule>
  </conditionalFormatting>
  <conditionalFormatting sqref="B149:G149">
    <cfRule type="expression" priority="49" dxfId="0">
      <formula>B149&lt;=0</formula>
    </cfRule>
    <cfRule type="expression" priority="50" dxfId="1">
      <formula>B149&gt;0</formula>
    </cfRule>
  </conditionalFormatting>
  <conditionalFormatting sqref="B154:G159">
    <cfRule type="expression" priority="51" dxfId="3">
      <formula>B154=MIN(B$154:B$159)</formula>
    </cfRule>
  </conditionalFormatting>
  <conditionalFormatting sqref="B163:G163">
    <cfRule type="expression" priority="52" dxfId="0">
      <formula>B163&lt;=0</formula>
    </cfRule>
    <cfRule type="expression" priority="53" dxfId="1">
      <formula>B163&gt;0</formula>
    </cfRule>
  </conditionalFormatting>
  <conditionalFormatting sqref="B164:G164">
    <cfRule type="expression" priority="54" dxfId="0">
      <formula>B164&lt;=0</formula>
    </cfRule>
    <cfRule type="expression" priority="55" dxfId="1">
      <formula>B164&gt;0</formula>
    </cfRule>
  </conditionalFormatting>
  <conditionalFormatting sqref="B169:G173">
    <cfRule type="expression" priority="56" dxfId="3">
      <formula>B169=MIN(B$169:B$173)</formula>
    </cfRule>
  </conditionalFormatting>
  <conditionalFormatting sqref="B177:G177">
    <cfRule type="expression" priority="57" dxfId="0">
      <formula>B177&lt;=0</formula>
    </cfRule>
    <cfRule type="expression" priority="58" dxfId="1">
      <formula>B177&gt;0</formula>
    </cfRule>
  </conditionalFormatting>
  <conditionalFormatting sqref="B178:G178">
    <cfRule type="expression" priority="59" dxfId="0">
      <formula>B178&lt;=0</formula>
    </cfRule>
    <cfRule type="expression" priority="60" dxfId="1">
      <formula>B178&gt;0</formula>
    </cfRule>
  </conditionalFormatting>
  <conditionalFormatting sqref="B183:G188">
    <cfRule type="expression" priority="61" dxfId="3">
      <formula>B183=MIN(B$183:B$188)</formula>
    </cfRule>
  </conditionalFormatting>
  <conditionalFormatting sqref="B192:G192">
    <cfRule type="expression" priority="62" dxfId="0">
      <formula>B192&lt;=0</formula>
    </cfRule>
    <cfRule type="expression" priority="63" dxfId="1">
      <formula>B192&gt;0</formula>
    </cfRule>
  </conditionalFormatting>
  <conditionalFormatting sqref="B193:G193">
    <cfRule type="expression" priority="64" dxfId="0">
      <formula>B193&lt;=0</formula>
    </cfRule>
    <cfRule type="expression" priority="65" dxfId="1">
      <formula>B193&gt;0</formula>
    </cfRule>
  </conditionalFormatting>
  <conditionalFormatting sqref="B198:G204">
    <cfRule type="expression" priority="66" dxfId="3">
      <formula>B198=MIN(B$198:B$204)</formula>
    </cfRule>
  </conditionalFormatting>
  <conditionalFormatting sqref="B208:G208">
    <cfRule type="expression" priority="67" dxfId="0">
      <formula>B208&lt;=0</formula>
    </cfRule>
    <cfRule type="expression" priority="68" dxfId="1">
      <formula>B208&gt;0</formula>
    </cfRule>
  </conditionalFormatting>
  <conditionalFormatting sqref="B209:G209">
    <cfRule type="expression" priority="69" dxfId="0">
      <formula>B209&lt;=0</formula>
    </cfRule>
    <cfRule type="expression" priority="70" dxfId="1">
      <formula>B209&gt;0</formula>
    </cfRule>
  </conditionalFormatting>
  <conditionalFormatting sqref="B214:G220">
    <cfRule type="expression" priority="71" dxfId="3">
      <formula>B214=MIN(B$214:B$220)</formula>
    </cfRule>
  </conditionalFormatting>
  <conditionalFormatting sqref="B224:G224">
    <cfRule type="expression" priority="72" dxfId="0">
      <formula>B224&lt;=0</formula>
    </cfRule>
    <cfRule type="expression" priority="73" dxfId="1">
      <formula>B224&gt;0</formula>
    </cfRule>
  </conditionalFormatting>
  <conditionalFormatting sqref="B225:G225">
    <cfRule type="expression" priority="74" dxfId="0">
      <formula>B225&lt;=0</formula>
    </cfRule>
    <cfRule type="expression" priority="75" dxfId="1">
      <formula>B225&gt;0</formula>
    </cfRule>
  </conditionalFormatting>
  <conditionalFormatting sqref="B230:G236">
    <cfRule type="expression" priority="76" dxfId="3">
      <formula>B230=MIN(B$230:B$236)</formula>
    </cfRule>
  </conditionalFormatting>
  <conditionalFormatting sqref="B240:G240">
    <cfRule type="expression" priority="77" dxfId="0">
      <formula>B240&lt;=0</formula>
    </cfRule>
    <cfRule type="expression" priority="78" dxfId="1">
      <formula>B240&gt;0</formula>
    </cfRule>
  </conditionalFormatting>
  <conditionalFormatting sqref="B241:G241">
    <cfRule type="expression" priority="79" dxfId="0">
      <formula>B241&lt;=0</formula>
    </cfRule>
    <cfRule type="expression" priority="80" dxfId="1">
      <formula>B241&gt;0</formula>
    </cfRule>
  </conditionalFormatting>
  <conditionalFormatting sqref="B246:G252">
    <cfRule type="expression" priority="81" dxfId="3">
      <formula>B246=MIN(B$246:B$252)</formula>
    </cfRule>
  </conditionalFormatting>
  <conditionalFormatting sqref="B256:G256">
    <cfRule type="expression" priority="82" dxfId="0">
      <formula>B256&lt;=0</formula>
    </cfRule>
    <cfRule type="expression" priority="83" dxfId="1">
      <formula>B256&gt;0</formula>
    </cfRule>
  </conditionalFormatting>
  <conditionalFormatting sqref="B257:G257">
    <cfRule type="expression" priority="84" dxfId="0">
      <formula>B257&lt;=0</formula>
    </cfRule>
    <cfRule type="expression" priority="85" dxfId="1">
      <formula>B257&gt;0</formula>
    </cfRule>
  </conditionalFormatting>
  <conditionalFormatting sqref="B262:G267">
    <cfRule type="expression" priority="86" dxfId="3">
      <formula>B262=MIN(B$262:B$267)</formula>
    </cfRule>
  </conditionalFormatting>
  <conditionalFormatting sqref="B271:G271">
    <cfRule type="expression" priority="87" dxfId="0">
      <formula>B271&lt;=0</formula>
    </cfRule>
    <cfRule type="expression" priority="88" dxfId="1">
      <formula>B271&gt;0</formula>
    </cfRule>
  </conditionalFormatting>
  <conditionalFormatting sqref="B272:G272">
    <cfRule type="expression" priority="89" dxfId="0">
      <formula>B272&lt;=0</formula>
    </cfRule>
    <cfRule type="expression" priority="90" dxfId="1">
      <formula>B272&gt;0</formula>
    </cfRule>
  </conditionalFormatting>
  <conditionalFormatting sqref="B277:G282">
    <cfRule type="expression" priority="91" dxfId="3">
      <formula>B277=MIN(B$277:B$282)</formula>
    </cfRule>
  </conditionalFormatting>
  <conditionalFormatting sqref="B286:G286">
    <cfRule type="expression" priority="92" dxfId="0">
      <formula>B286&lt;=0</formula>
    </cfRule>
    <cfRule type="expression" priority="93" dxfId="1">
      <formula>B286&gt;0</formula>
    </cfRule>
  </conditionalFormatting>
  <conditionalFormatting sqref="B287:G287">
    <cfRule type="expression" priority="94" dxfId="0">
      <formula>B287&lt;=0</formula>
    </cfRule>
    <cfRule type="expression" priority="95" dxfId="1">
      <formula>B287&gt;0</formula>
    </cfRule>
  </conditionalFormatting>
  <conditionalFormatting sqref="B292:G298">
    <cfRule type="expression" priority="96" dxfId="3">
      <formula>B292=MIN(B$292:B$298)</formula>
    </cfRule>
  </conditionalFormatting>
  <conditionalFormatting sqref="B302:G302">
    <cfRule type="expression" priority="97" dxfId="0">
      <formula>B302&lt;=0</formula>
    </cfRule>
    <cfRule type="expression" priority="98" dxfId="1">
      <formula>B302&gt;0</formula>
    </cfRule>
  </conditionalFormatting>
  <conditionalFormatting sqref="B303:G303">
    <cfRule type="expression" priority="99" dxfId="0">
      <formula>B303&lt;=0</formula>
    </cfRule>
    <cfRule type="expression" priority="100" dxfId="1">
      <formula>B303&gt;0</formula>
    </cfRule>
  </conditionalFormatting>
  <conditionalFormatting sqref="B308:G313">
    <cfRule type="expression" priority="101" dxfId="3">
      <formula>B308=MIN(B$308:B$313)</formula>
    </cfRule>
  </conditionalFormatting>
  <conditionalFormatting sqref="B317:G317">
    <cfRule type="expression" priority="102" dxfId="0">
      <formula>B317&lt;=0</formula>
    </cfRule>
    <cfRule type="expression" priority="103" dxfId="1">
      <formula>B317&gt;0</formula>
    </cfRule>
  </conditionalFormatting>
  <conditionalFormatting sqref="B318:G318">
    <cfRule type="expression" priority="104" dxfId="0">
      <formula>B318&lt;=0</formula>
    </cfRule>
    <cfRule type="expression" priority="105" dxfId="1">
      <formula>B318&gt;0</formula>
    </cfRule>
  </conditionalFormatting>
  <conditionalFormatting sqref="B323:G328">
    <cfRule type="expression" priority="106" dxfId="3">
      <formula>B323=MIN(B$323:B$328)</formula>
    </cfRule>
  </conditionalFormatting>
  <conditionalFormatting sqref="B332:G332">
    <cfRule type="expression" priority="107" dxfId="0">
      <formula>B332&lt;=0</formula>
    </cfRule>
    <cfRule type="expression" priority="108" dxfId="1">
      <formula>B332&gt;0</formula>
    </cfRule>
  </conditionalFormatting>
  <conditionalFormatting sqref="B333:G333">
    <cfRule type="expression" priority="109" dxfId="0">
      <formula>B333&lt;=0</formula>
    </cfRule>
    <cfRule type="expression" priority="110" dxfId="1">
      <formula>B333&gt;0</formula>
    </cfRule>
  </conditionalFormatting>
  <conditionalFormatting sqref="B338:G343">
    <cfRule type="expression" priority="111" dxfId="3">
      <formula>B338=MIN(B$338:B$343)</formula>
    </cfRule>
  </conditionalFormatting>
  <conditionalFormatting sqref="B347:G347">
    <cfRule type="expression" priority="112" dxfId="0">
      <formula>B347&lt;=0</formula>
    </cfRule>
    <cfRule type="expression" priority="113" dxfId="1">
      <formula>B347&gt;0</formula>
    </cfRule>
  </conditionalFormatting>
  <conditionalFormatting sqref="B348:G348">
    <cfRule type="expression" priority="114" dxfId="0">
      <formula>B348&lt;=0</formula>
    </cfRule>
    <cfRule type="expression" priority="115" dxfId="1">
      <formula>B348&gt;0</formula>
    </cfRule>
  </conditionalFormatting>
  <conditionalFormatting sqref="B353:G358">
    <cfRule type="expression" priority="116" dxfId="3">
      <formula>B353=MIN(B$353:B$358)</formula>
    </cfRule>
  </conditionalFormatting>
  <conditionalFormatting sqref="B362:G362">
    <cfRule type="expression" priority="117" dxfId="0">
      <formula>B362&lt;=0</formula>
    </cfRule>
    <cfRule type="expression" priority="118" dxfId="1">
      <formula>B362&gt;0</formula>
    </cfRule>
  </conditionalFormatting>
  <conditionalFormatting sqref="B363:G363">
    <cfRule type="expression" priority="119" dxfId="0">
      <formula>B363&lt;=0</formula>
    </cfRule>
    <cfRule type="expression" priority="120" dxfId="1">
      <formula>B363&gt;0</formula>
    </cfRule>
  </conditionalFormatting>
  <conditionalFormatting sqref="B368:G373">
    <cfRule type="expression" priority="121" dxfId="3">
      <formula>B368=MIN(B$368:B$373)</formula>
    </cfRule>
  </conditionalFormatting>
  <conditionalFormatting sqref="B377:G377">
    <cfRule type="expression" priority="122" dxfId="0">
      <formula>B377&lt;=0</formula>
    </cfRule>
    <cfRule type="expression" priority="123" dxfId="1">
      <formula>B377&gt;0</formula>
    </cfRule>
  </conditionalFormatting>
  <conditionalFormatting sqref="B378:G378">
    <cfRule type="expression" priority="124" dxfId="0">
      <formula>B378&lt;=0</formula>
    </cfRule>
    <cfRule type="expression" priority="125" dxfId="1">
      <formula>B378&gt;0</formula>
    </cfRule>
  </conditionalFormatting>
  <conditionalFormatting sqref="B383:G388">
    <cfRule type="expression" priority="126" dxfId="3">
      <formula>B383=MIN(B$383:B$388)</formula>
    </cfRule>
  </conditionalFormatting>
  <conditionalFormatting sqref="B392:G392">
    <cfRule type="expression" priority="127" dxfId="0">
      <formula>B392&lt;=0</formula>
    </cfRule>
    <cfRule type="expression" priority="128" dxfId="1">
      <formula>B392&gt;0</formula>
    </cfRule>
  </conditionalFormatting>
  <conditionalFormatting sqref="B393:G393">
    <cfRule type="expression" priority="129" dxfId="0">
      <formula>B393&lt;=0</formula>
    </cfRule>
    <cfRule type="expression" priority="130" dxfId="1">
      <formula>B393&gt;0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2026-09-23T12:34:45Z</dcterms:created>
  <dcterms:modified xsi:type="dcterms:W3CDTF">2026-09-23T12:34:45Z</dcterms:modified>
</cp:coreProperties>
</file>